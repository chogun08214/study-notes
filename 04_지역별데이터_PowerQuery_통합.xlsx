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ogu\OneDrive\바탕 화면\막학기\빅데이터 이해 및 활용\4주차\C3\"/>
    </mc:Choice>
  </mc:AlternateContent>
  <xr:revisionPtr revIDLastSave="0" documentId="13_ncr:1_{6537F55F-24AD-41C6-A5D9-83FDA5550DE0}" xr6:coauthVersionLast="47" xr6:coauthVersionMax="47" xr10:uidLastSave="{00000000-0000-0000-0000-000000000000}"/>
  <bookViews>
    <workbookView xWindow="0" yWindow="135" windowWidth="13965" windowHeight="15000" firstSheet="6" activeTab="6" xr2:uid="{00000000-000D-0000-FFFF-FFFF00000000}"/>
  </bookViews>
  <sheets>
    <sheet name="서울" sheetId="1" r:id="rId1"/>
    <sheet name="부산" sheetId="4" r:id="rId2"/>
    <sheet name="전주 (2)" sheetId="12" r:id="rId3"/>
    <sheet name="서울 (2)" sheetId="11" r:id="rId4"/>
    <sheet name="부산 (2)" sheetId="10" r:id="rId5"/>
    <sheet name="대전 (2)" sheetId="9" r:id="rId6"/>
    <sheet name="대구 (2)" sheetId="8" r:id="rId7"/>
    <sheet name="대구" sheetId="5" r:id="rId8"/>
    <sheet name="전주" sheetId="6" r:id="rId9"/>
    <sheet name="대전" sheetId="7" r:id="rId10"/>
  </sheets>
  <definedNames>
    <definedName name="ExternalData_1" localSheetId="6" hidden="1">'대구 (2)'!$A$1:$K$80</definedName>
    <definedName name="ExternalData_2" localSheetId="5" hidden="1">'대전 (2)'!$A$1:$I$15</definedName>
    <definedName name="ExternalData_3" localSheetId="4" hidden="1">'부산 (2)'!$A$1:$H$19</definedName>
    <definedName name="ExternalData_4" localSheetId="3" hidden="1">'서울 (2)'!$A$1:$I$12</definedName>
    <definedName name="ExternalData_5" localSheetId="2" hidden="1">'전주 (2)'!$A$1:$H$19</definedName>
    <definedName name="판매량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0" i="8" l="1"/>
  <c r="E90" i="8"/>
  <c r="F90" i="8"/>
  <c r="C90" i="8"/>
  <c r="F88" i="8"/>
  <c r="F89" i="8"/>
  <c r="F86" i="8"/>
  <c r="F87" i="8"/>
  <c r="F85" i="8"/>
  <c r="I86" i="8"/>
  <c r="J86" i="8"/>
  <c r="K86" i="8"/>
  <c r="I87" i="8"/>
  <c r="J87" i="8"/>
  <c r="K87" i="8"/>
  <c r="I88" i="8"/>
  <c r="J88" i="8"/>
  <c r="K88" i="8"/>
  <c r="I89" i="8"/>
  <c r="J89" i="8"/>
  <c r="K89" i="8"/>
  <c r="I85" i="8"/>
  <c r="J85" i="8"/>
  <c r="K85" i="8"/>
  <c r="C86" i="8"/>
  <c r="D86" i="8"/>
  <c r="E86" i="8"/>
  <c r="C87" i="8"/>
  <c r="D87" i="8"/>
  <c r="E87" i="8"/>
  <c r="C88" i="8"/>
  <c r="D88" i="8"/>
  <c r="E88" i="8"/>
  <c r="C89" i="8"/>
  <c r="D89" i="8"/>
  <c r="E89" i="8"/>
  <c r="D85" i="8"/>
  <c r="E85" i="8"/>
  <c r="C85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7FEB98-C7EA-41D2-8C9F-0506C52EE330}" keepAlive="1" name="쿼리 - 대구" description="통합 문서의 '대구' 쿼리에 대한 연결입니다." type="5" refreshedVersion="8" background="1" saveData="1">
    <dbPr connection="Provider=Microsoft.Mashup.OleDb.1;Data Source=$Workbook$;Location=대구;Extended Properties=&quot;&quot;" command="SELECT * FROM [대구]"/>
  </connection>
  <connection id="2" xr16:uid="{A90E3099-F9CB-4956-A103-7FA1DA44D3A0}" keepAlive="1" name="쿼리 - 대전" description="통합 문서의 '대전' 쿼리에 대한 연결입니다." type="5" refreshedVersion="8" background="1" saveData="1">
    <dbPr connection="Provider=Microsoft.Mashup.OleDb.1;Data Source=$Workbook$;Location=대전;Extended Properties=&quot;&quot;" command="SELECT * FROM [대전]"/>
  </connection>
  <connection id="3" xr16:uid="{A840CA41-B394-4D82-A3AE-6AD7B6793E9B}" keepAlive="1" name="쿼리 - 부산" description="통합 문서의 '부산' 쿼리에 대한 연결입니다." type="5" refreshedVersion="8" background="1" saveData="1">
    <dbPr connection="Provider=Microsoft.Mashup.OleDb.1;Data Source=$Workbook$;Location=부산;Extended Properties=&quot;&quot;" command="SELECT * FROM [부산]"/>
  </connection>
  <connection id="4" xr16:uid="{137A3FBD-3175-4F97-B0D8-0C2420E44610}" keepAlive="1" name="쿼리 - 서울" description="통합 문서의 '서울' 쿼리에 대한 연결입니다." type="5" refreshedVersion="8" background="1" saveData="1">
    <dbPr connection="Provider=Microsoft.Mashup.OleDb.1;Data Source=$Workbook$;Location=서울;Extended Properties=&quot;&quot;" command="SELECT * FROM [서울]"/>
  </connection>
  <connection id="5" xr16:uid="{411B5864-A99B-44A1-AC3D-1E3C4FA0C456}" keepAlive="1" name="쿼리 - 전주" description="통합 문서의 '전주' 쿼리에 대한 연결입니다." type="5" refreshedVersion="8" background="1" saveData="1">
    <dbPr connection="Provider=Microsoft.Mashup.OleDb.1;Data Source=$Workbook$;Location=전주;Extended Properties=&quot;&quot;" command="SELECT * FROM [전주]"/>
  </connection>
</connections>
</file>

<file path=xl/sharedStrings.xml><?xml version="1.0" encoding="utf-8"?>
<sst xmlns="http://schemas.openxmlformats.org/spreadsheetml/2006/main" count="412" uniqueCount="39">
  <si>
    <t>일시</t>
  </si>
  <si>
    <t>고객번호</t>
  </si>
  <si>
    <t>판매량</t>
  </si>
  <si>
    <t>단가</t>
  </si>
  <si>
    <t>할인율</t>
  </si>
  <si>
    <t>매출액</t>
  </si>
  <si>
    <t>비고</t>
  </si>
  <si>
    <t>카드</t>
  </si>
  <si>
    <t>현금</t>
  </si>
  <si>
    <t>물품번호</t>
    <phoneticPr fontId="1" type="noConversion"/>
  </si>
  <si>
    <t>결제방법</t>
    <phoneticPr fontId="1" type="noConversion"/>
  </si>
  <si>
    <t>Name</t>
  </si>
  <si>
    <t>사용자 지정.일시</t>
  </si>
  <si>
    <t>사용자 지정.고객번호</t>
  </si>
  <si>
    <t>사용자 지정.물품번호</t>
  </si>
  <si>
    <t>사용자 지정.판매량</t>
  </si>
  <si>
    <t>사용자 지정.단가</t>
  </si>
  <si>
    <t>사용자 지정.할인율</t>
  </si>
  <si>
    <t>사용자 지정.매출액</t>
  </si>
  <si>
    <t>사용자 지정.결제방법</t>
  </si>
  <si>
    <t>사용자 지정.비고</t>
  </si>
  <si>
    <t>원매출액</t>
  </si>
  <si>
    <t>서울</t>
  </si>
  <si>
    <t/>
  </si>
  <si>
    <t>부산</t>
  </si>
  <si>
    <t>대구</t>
  </si>
  <si>
    <t>전주</t>
  </si>
  <si>
    <t>대전</t>
  </si>
  <si>
    <t>물품번호</t>
  </si>
  <si>
    <t>결제방법</t>
  </si>
  <si>
    <t>지역별/결제방법별 판매량</t>
    <phoneticPr fontId="1" type="noConversion"/>
  </si>
  <si>
    <t>서울</t>
    <phoneticPr fontId="1" type="noConversion"/>
  </si>
  <si>
    <t>부산</t>
    <phoneticPr fontId="1" type="noConversion"/>
  </si>
  <si>
    <t>대구</t>
    <phoneticPr fontId="1" type="noConversion"/>
  </si>
  <si>
    <t>전주</t>
    <phoneticPr fontId="1" type="noConversion"/>
  </si>
  <si>
    <t>대전</t>
    <phoneticPr fontId="1" type="noConversion"/>
  </si>
  <si>
    <t>합계</t>
    <phoneticPr fontId="1" type="noConversion"/>
  </si>
  <si>
    <t>카드</t>
    <phoneticPr fontId="1" type="noConversion"/>
  </si>
  <si>
    <t>현금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</si>
</sst>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14" fontId="3" fillId="0" borderId="0" xfId="0" applyNumberFormat="1" applyFont="1">
      <alignment vertical="center"/>
    </xf>
    <xf numFmtId="0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7">
    <dxf>
      <numFmt numFmtId="19" formatCode="yyyy/mm/dd"/>
    </dxf>
    <dxf>
      <numFmt numFmtId="0" formatCode="General"/>
    </dxf>
    <dxf>
      <numFmt numFmtId="19" formatCode="yyyy/mm/dd"/>
    </dxf>
    <dxf>
      <numFmt numFmtId="19" formatCode="yyyy/mm/dd"/>
    </dxf>
    <dxf>
      <numFmt numFmtId="0" formatCode="General"/>
    </dxf>
    <dxf>
      <numFmt numFmtId="19" formatCode="yyyy/mm/dd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4D507E8E-054C-4E4D-8209-358B1C108B97}" autoFormatId="16" applyNumberFormats="0" applyBorderFormats="0" applyFontFormats="0" applyPatternFormats="0" applyAlignmentFormats="0" applyWidthHeightFormats="0">
  <queryTableRefresh nextId="9">
    <queryTableFields count="8">
      <queryTableField id="1" name="일시" tableColumnId="1"/>
      <queryTableField id="2" name="고객번호" tableColumnId="2"/>
      <queryTableField id="3" name="물품번호" tableColumnId="3"/>
      <queryTableField id="4" name="판매량" tableColumnId="4"/>
      <queryTableField id="5" name="단가" tableColumnId="5"/>
      <queryTableField id="6" name="할인율" tableColumnId="6"/>
      <queryTableField id="7" name="매출액" tableColumnId="7"/>
      <queryTableField id="8" name="비고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E4DB0E28-913D-4AA3-8E20-9311D37FB890}" autoFormatId="16" applyNumberFormats="0" applyBorderFormats="0" applyFontFormats="0" applyPatternFormats="0" applyAlignmentFormats="0" applyWidthHeightFormats="0">
  <queryTableRefresh nextId="10">
    <queryTableFields count="9">
      <queryTableField id="1" name="일시" tableColumnId="1"/>
      <queryTableField id="2" name="고객번호" tableColumnId="2"/>
      <queryTableField id="3" name="물품번호" tableColumnId="3"/>
      <queryTableField id="4" name="판매량" tableColumnId="4"/>
      <queryTableField id="5" name="단가" tableColumnId="5"/>
      <queryTableField id="6" name="할인율" tableColumnId="6"/>
      <queryTableField id="7" name="매출액" tableColumnId="7"/>
      <queryTableField id="8" name="결제방법" tableColumnId="8"/>
      <queryTableField id="9" name="비고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017FAB9A-ABD9-4206-8ED9-C8F35B125FDB}" autoFormatId="16" applyNumberFormats="0" applyBorderFormats="0" applyFontFormats="0" applyPatternFormats="0" applyAlignmentFormats="0" applyWidthHeightFormats="0">
  <queryTableRefresh nextId="9">
    <queryTableFields count="8">
      <queryTableField id="1" name="일시" tableColumnId="1"/>
      <queryTableField id="2" name="고객번호" tableColumnId="2"/>
      <queryTableField id="3" name="물품번호" tableColumnId="3"/>
      <queryTableField id="4" name="판매량" tableColumnId="4"/>
      <queryTableField id="5" name="단가" tableColumnId="5"/>
      <queryTableField id="6" name="할인율" tableColumnId="6"/>
      <queryTableField id="7" name="매출액" tableColumnId="7"/>
      <queryTableField id="8" name="비고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2783F6E0-D4D1-46CE-AED9-EED09F39C11B}" autoFormatId="16" applyNumberFormats="0" applyBorderFormats="0" applyFontFormats="0" applyPatternFormats="0" applyAlignmentFormats="0" applyWidthHeightFormats="0">
  <queryTableRefresh nextId="10">
    <queryTableFields count="9">
      <queryTableField id="1" name="일시" tableColumnId="1"/>
      <queryTableField id="2" name="고객번호" tableColumnId="2"/>
      <queryTableField id="3" name="물품번호" tableColumnId="3"/>
      <queryTableField id="4" name="판매량" tableColumnId="4"/>
      <queryTableField id="5" name="단가" tableColumnId="5"/>
      <queryTableField id="6" name="할인율" tableColumnId="6"/>
      <queryTableField id="7" name="매출액" tableColumnId="7"/>
      <queryTableField id="8" name="결제방법" tableColumnId="8"/>
      <queryTableField id="9" name="비고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FD3EA2E-8E45-4300-A38A-33A7AD8A5FBE}" autoFormatId="16" applyNumberFormats="0" applyBorderFormats="0" applyFontFormats="0" applyPatternFormats="0" applyAlignmentFormats="0" applyWidthHeightFormats="0">
  <queryTableRefresh nextId="12">
    <queryTableFields count="11">
      <queryTableField id="1" name="Name" tableColumnId="1"/>
      <queryTableField id="2" name="사용자 지정.일시" tableColumnId="2"/>
      <queryTableField id="3" name="사용자 지정.고객번호" tableColumnId="3"/>
      <queryTableField id="4" name="사용자 지정.물품번호" tableColumnId="4"/>
      <queryTableField id="5" name="사용자 지정.판매량" tableColumnId="5"/>
      <queryTableField id="6" name="사용자 지정.단가" tableColumnId="6"/>
      <queryTableField id="7" name="사용자 지정.할인율" tableColumnId="7"/>
      <queryTableField id="8" name="사용자 지정.매출액" tableColumnId="8"/>
      <queryTableField id="9" name="사용자 지정.결제방법" tableColumnId="9"/>
      <queryTableField id="10" name="사용자 지정.비고" tableColumnId="10"/>
      <queryTableField id="11" name="원매출액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788CC84-AD4C-4513-A398-882356313319}" name="전주" displayName="전주" ref="A1:H19" tableType="queryTable" totalsRowShown="0">
  <autoFilter ref="A1:H19" xr:uid="{8788CC84-AD4C-4513-A398-882356313319}"/>
  <tableColumns count="8">
    <tableColumn id="1" xr3:uid="{366EF961-AF5B-4751-A627-48579D82F290}" uniqueName="1" name="일시" queryTableFieldId="1" dataDxfId="0"/>
    <tableColumn id="2" xr3:uid="{B58981B8-020F-4E55-A432-379200848531}" uniqueName="2" name="고객번호" queryTableFieldId="2"/>
    <tableColumn id="3" xr3:uid="{D31C08BB-980E-4378-B552-D5F6D8069FEF}" uniqueName="3" name="물품번호" queryTableFieldId="3"/>
    <tableColumn id="4" xr3:uid="{7FA6996E-2D35-43A2-BA99-913536BBD8CE}" uniqueName="4" name="판매량" queryTableFieldId="4"/>
    <tableColumn id="5" xr3:uid="{10608398-0B1B-4488-85AC-C403FBEEC55B}" uniqueName="5" name="단가" queryTableFieldId="5"/>
    <tableColumn id="6" xr3:uid="{9A4E45A4-556E-4A0E-A9A5-E5777357CE31}" uniqueName="6" name="할인율" queryTableFieldId="6"/>
    <tableColumn id="7" xr3:uid="{4F1D379A-036B-4D56-B14E-9275024FB94C}" uniqueName="7" name="매출액" queryTableFieldId="7"/>
    <tableColumn id="8" xr3:uid="{00CF2C52-94FD-4AED-A79C-EC4BD72D0DCE}" uniqueName="8" name="비고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45592C2-C3F5-4BDE-9DE2-49A8AB316571}" name="서울" displayName="서울" ref="A1:I12" tableType="queryTable" totalsRowShown="0">
  <autoFilter ref="A1:I12" xr:uid="{345592C2-C3F5-4BDE-9DE2-49A8AB316571}"/>
  <tableColumns count="9">
    <tableColumn id="1" xr3:uid="{BA068850-84F2-4349-9F0C-EF8E52738A06}" uniqueName="1" name="일시" queryTableFieldId="1" dataDxfId="2"/>
    <tableColumn id="2" xr3:uid="{675589A1-08C7-4D4A-BFB9-5172513732F5}" uniqueName="2" name="고객번호" queryTableFieldId="2"/>
    <tableColumn id="3" xr3:uid="{FF4309A6-1E83-436E-99C9-8BB69376C7C9}" uniqueName="3" name="물품번호" queryTableFieldId="3"/>
    <tableColumn id="4" xr3:uid="{E476FED0-8666-4C28-824B-F06562F8CA61}" uniqueName="4" name="판매량" queryTableFieldId="4"/>
    <tableColumn id="5" xr3:uid="{562B7CA7-F4A4-4BF5-9E4C-41C8B044599B}" uniqueName="5" name="단가" queryTableFieldId="5"/>
    <tableColumn id="6" xr3:uid="{C1579D04-7E0B-4967-9414-C3A8BE46FAA4}" uniqueName="6" name="할인율" queryTableFieldId="6"/>
    <tableColumn id="7" xr3:uid="{63320887-DE18-4558-B0E3-521E69B3978C}" uniqueName="7" name="매출액" queryTableFieldId="7"/>
    <tableColumn id="8" xr3:uid="{C1D56A74-9CD1-40E8-9318-74F0A2E9D414}" uniqueName="8" name="결제방법" queryTableFieldId="8" dataDxfId="1"/>
    <tableColumn id="9" xr3:uid="{1B5EBB56-F33E-4ABA-BB13-2DB3E5C0FAB4}" uniqueName="9" name="비고" queryTableField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40F0ED1-90EE-4B7E-AFF7-63DDAD1D442B}" name="부산" displayName="부산" ref="A1:H19" tableType="queryTable" totalsRowShown="0">
  <autoFilter ref="A1:H19" xr:uid="{B40F0ED1-90EE-4B7E-AFF7-63DDAD1D442B}"/>
  <tableColumns count="8">
    <tableColumn id="1" xr3:uid="{D137DFCB-5BB8-446D-9443-7CC0AEE1FDAA}" uniqueName="1" name="일시" queryTableFieldId="1" dataDxfId="3"/>
    <tableColumn id="2" xr3:uid="{68909848-BE0A-49C6-9F08-8AEC0C30AC80}" uniqueName="2" name="고객번호" queryTableFieldId="2"/>
    <tableColumn id="3" xr3:uid="{D4F37F80-E1CC-457E-B9A5-63BD7A931BA8}" uniqueName="3" name="물품번호" queryTableFieldId="3"/>
    <tableColumn id="4" xr3:uid="{9C10B485-5349-45F6-BF43-87B6AAC622FA}" uniqueName="4" name="판매량" queryTableFieldId="4"/>
    <tableColumn id="5" xr3:uid="{F3264B65-DE32-4C2F-ABA5-EB3BEB6B3DBE}" uniqueName="5" name="단가" queryTableFieldId="5"/>
    <tableColumn id="6" xr3:uid="{17DD953C-99E8-43CB-AA60-863F2D40FBD9}" uniqueName="6" name="할인율" queryTableFieldId="6"/>
    <tableColumn id="7" xr3:uid="{3A97A8B7-F882-4F6D-AF1A-77863854AD91}" uniqueName="7" name="매출액" queryTableFieldId="7"/>
    <tableColumn id="8" xr3:uid="{A2147D93-CF3A-45F8-9B77-89AB1038F239}" uniqueName="8" name="비고" queryTableField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321FF1-8D9F-4568-B1A3-B4989A3DE4FB}" name="대전" displayName="대전" ref="A1:I15" tableType="queryTable" totalsRowShown="0">
  <autoFilter ref="A1:I15" xr:uid="{99321FF1-8D9F-4568-B1A3-B4989A3DE4FB}"/>
  <tableColumns count="9">
    <tableColumn id="1" xr3:uid="{C773046A-FC87-494D-8E75-ED8806138A8F}" uniqueName="1" name="일시" queryTableFieldId="1" dataDxfId="5"/>
    <tableColumn id="2" xr3:uid="{B5CDAD7A-7F63-4406-B45B-19052C46F1B4}" uniqueName="2" name="고객번호" queryTableFieldId="2"/>
    <tableColumn id="3" xr3:uid="{0F9363AA-BDA2-4F7E-9837-34F2971B0A5B}" uniqueName="3" name="물품번호" queryTableFieldId="3"/>
    <tableColumn id="4" xr3:uid="{6CBC67D4-3978-40ED-A1F5-F22484307075}" uniqueName="4" name="판매량" queryTableFieldId="4"/>
    <tableColumn id="5" xr3:uid="{D962192F-1460-4F9A-BF55-EA2288D1CB30}" uniqueName="5" name="단가" queryTableFieldId="5"/>
    <tableColumn id="6" xr3:uid="{257E605B-2840-4A55-A2DA-D5782577B96C}" uniqueName="6" name="할인율" queryTableFieldId="6"/>
    <tableColumn id="7" xr3:uid="{12943347-062E-4474-A2DC-D4A9FF0EAB05}" uniqueName="7" name="매출액" queryTableFieldId="7"/>
    <tableColumn id="8" xr3:uid="{6C554937-1682-46D5-93F7-053A61B7686E}" uniqueName="8" name="결제방법" queryTableFieldId="8" dataDxfId="4"/>
    <tableColumn id="9" xr3:uid="{D03E0AD1-7C1E-4BAD-9B37-77825ACBC534}" uniqueName="9" name="비고" queryTableFieldId="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B01830-92FC-46BB-B907-87F41DCA5595}" name="대구" displayName="대구" ref="A1:K80" tableType="queryTable" totalsRowShown="0">
  <autoFilter ref="A1:K80" xr:uid="{96B01830-92FC-46BB-B907-87F41DCA5595}"/>
  <tableColumns count="11">
    <tableColumn id="1" xr3:uid="{EBDF94B9-EC00-4508-B2C5-5775C77A6771}" uniqueName="1" name="Name" queryTableFieldId="1" dataDxfId="6"/>
    <tableColumn id="2" xr3:uid="{C39EF80E-E897-4ADB-9A20-2B84AD47CCF8}" uniqueName="2" name="사용자 지정.일시" queryTableFieldId="2"/>
    <tableColumn id="3" xr3:uid="{6E51442A-5D61-42E6-A5D9-88FA908B76C2}" uniqueName="3" name="사용자 지정.고객번호" queryTableFieldId="3"/>
    <tableColumn id="4" xr3:uid="{CAFFD1F4-D627-45E6-8C87-BA95D315279E}" uniqueName="4" name="사용자 지정.물품번호" queryTableFieldId="4"/>
    <tableColumn id="5" xr3:uid="{894AC493-F02C-47B2-9881-7A651167D2C8}" uniqueName="5" name="사용자 지정.판매량" queryTableFieldId="5"/>
    <tableColumn id="6" xr3:uid="{85B0899B-9320-4DDD-A655-5203B27E1ABC}" uniqueName="6" name="사용자 지정.단가" queryTableFieldId="6"/>
    <tableColumn id="7" xr3:uid="{B2F5526E-9973-46AA-96A0-D89927414286}" uniqueName="7" name="사용자 지정.할인율" queryTableFieldId="7"/>
    <tableColumn id="8" xr3:uid="{DAB8AAE4-3A3D-44A0-9D00-0D50560144CB}" uniqueName="8" name="사용자 지정.매출액" queryTableFieldId="8"/>
    <tableColumn id="9" xr3:uid="{9BEF87BF-0C07-44A6-B758-CE7017AFE2DA}" uniqueName="9" name="사용자 지정.결제방법" queryTableFieldId="9"/>
    <tableColumn id="10" xr3:uid="{613D7FC4-025F-4B2F-9B2B-737F73F3FDCE}" uniqueName="10" name="사용자 지정.비고" queryTableFieldId="10"/>
    <tableColumn id="11" xr3:uid="{0A202102-18C8-4B9E-A4A4-2A156F2178CA}" uniqueName="11" name="원매출액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workbookViewId="0">
      <selection activeCell="H1" sqref="H1"/>
    </sheetView>
  </sheetViews>
  <sheetFormatPr defaultColWidth="9" defaultRowHeight="13.5" x14ac:dyDescent="0.3"/>
  <cols>
    <col min="1" max="1" width="11.125" style="1" bestFit="1" customWidth="1"/>
    <col min="2" max="3" width="9" style="1"/>
    <col min="4" max="4" width="7.375" style="1" customWidth="1"/>
    <col min="5" max="8" width="9" style="1"/>
    <col min="9" max="9" width="11.375" style="1" bestFit="1" customWidth="1"/>
    <col min="10" max="16384" width="9" style="1"/>
  </cols>
  <sheetData>
    <row r="1" spans="1:9" x14ac:dyDescent="0.3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10</v>
      </c>
      <c r="I1" s="1" t="s">
        <v>6</v>
      </c>
    </row>
    <row r="2" spans="1:9" x14ac:dyDescent="0.3">
      <c r="A2" s="2">
        <v>36527</v>
      </c>
      <c r="B2" s="1">
        <v>209001</v>
      </c>
      <c r="C2" s="1">
        <v>10018</v>
      </c>
      <c r="D2" s="1">
        <v>2</v>
      </c>
      <c r="E2" s="1">
        <v>32</v>
      </c>
      <c r="F2" s="1">
        <v>0</v>
      </c>
      <c r="G2" s="1">
        <v>64</v>
      </c>
      <c r="H2" s="1" t="s">
        <v>7</v>
      </c>
    </row>
    <row r="3" spans="1:9" x14ac:dyDescent="0.3">
      <c r="A3" s="2">
        <v>36527</v>
      </c>
      <c r="B3" s="1">
        <v>209001</v>
      </c>
      <c r="C3" s="1">
        <v>10021</v>
      </c>
      <c r="D3" s="1">
        <v>3</v>
      </c>
      <c r="E3" s="1">
        <v>15</v>
      </c>
      <c r="F3" s="1">
        <v>0.1</v>
      </c>
      <c r="G3" s="1">
        <v>40.5</v>
      </c>
      <c r="H3" s="1" t="s">
        <v>7</v>
      </c>
    </row>
    <row r="4" spans="1:9" x14ac:dyDescent="0.3">
      <c r="A4" s="2">
        <v>36527</v>
      </c>
      <c r="B4" s="1">
        <v>209001</v>
      </c>
      <c r="C4" s="1">
        <v>10017</v>
      </c>
      <c r="D4" s="1">
        <v>2</v>
      </c>
      <c r="E4" s="1">
        <v>65</v>
      </c>
      <c r="F4" s="1">
        <v>0</v>
      </c>
      <c r="G4" s="1">
        <v>130</v>
      </c>
      <c r="H4" s="1" t="s">
        <v>7</v>
      </c>
    </row>
    <row r="5" spans="1:9" x14ac:dyDescent="0.3">
      <c r="A5" s="2">
        <v>36527</v>
      </c>
      <c r="B5" s="1">
        <v>209001</v>
      </c>
      <c r="C5" s="1">
        <v>20002</v>
      </c>
      <c r="D5" s="1">
        <v>5</v>
      </c>
      <c r="E5" s="1">
        <v>15</v>
      </c>
      <c r="F5" s="1">
        <v>0</v>
      </c>
      <c r="G5" s="1">
        <v>75</v>
      </c>
      <c r="H5" s="1" t="s">
        <v>7</v>
      </c>
    </row>
    <row r="6" spans="1:9" x14ac:dyDescent="0.3">
      <c r="A6" s="2">
        <v>36527</v>
      </c>
      <c r="B6" s="1">
        <v>209001</v>
      </c>
      <c r="C6" s="1">
        <v>30025</v>
      </c>
      <c r="D6" s="1">
        <v>1</v>
      </c>
      <c r="E6" s="1">
        <v>25</v>
      </c>
      <c r="F6" s="1">
        <v>0</v>
      </c>
      <c r="G6" s="1">
        <v>25</v>
      </c>
      <c r="H6" s="1" t="s">
        <v>7</v>
      </c>
    </row>
    <row r="7" spans="1:9" x14ac:dyDescent="0.3">
      <c r="A7" s="2">
        <v>36527</v>
      </c>
      <c r="B7" s="1">
        <v>209001</v>
      </c>
      <c r="C7" s="1">
        <v>10011</v>
      </c>
      <c r="D7" s="1">
        <v>1</v>
      </c>
      <c r="E7" s="1">
        <v>32</v>
      </c>
      <c r="F7" s="1">
        <v>0.03</v>
      </c>
      <c r="G7" s="1">
        <v>31.04</v>
      </c>
      <c r="H7" s="1" t="s">
        <v>7</v>
      </c>
    </row>
    <row r="8" spans="1:9" x14ac:dyDescent="0.3">
      <c r="A8" s="2">
        <v>36527</v>
      </c>
      <c r="B8" s="1">
        <v>214841</v>
      </c>
      <c r="C8" s="1">
        <v>10018</v>
      </c>
      <c r="D8" s="1">
        <v>1</v>
      </c>
      <c r="E8" s="1">
        <v>32</v>
      </c>
      <c r="F8" s="1">
        <v>0</v>
      </c>
      <c r="G8" s="1">
        <v>32</v>
      </c>
      <c r="H8" s="1" t="s">
        <v>8</v>
      </c>
    </row>
    <row r="9" spans="1:9" x14ac:dyDescent="0.3">
      <c r="A9" s="2">
        <v>36527</v>
      </c>
      <c r="B9" s="1">
        <v>214841</v>
      </c>
      <c r="C9" s="1">
        <v>10019</v>
      </c>
      <c r="D9" s="1">
        <v>1</v>
      </c>
      <c r="E9" s="1">
        <v>14</v>
      </c>
      <c r="F9" s="1">
        <v>0</v>
      </c>
      <c r="G9" s="1">
        <v>14</v>
      </c>
      <c r="H9" s="1" t="s">
        <v>8</v>
      </c>
    </row>
    <row r="10" spans="1:9" x14ac:dyDescent="0.3">
      <c r="A10" s="2">
        <v>36527</v>
      </c>
      <c r="B10" s="1">
        <v>214841</v>
      </c>
      <c r="C10" s="1">
        <v>10021</v>
      </c>
      <c r="D10" s="1">
        <v>1</v>
      </c>
      <c r="E10" s="1">
        <v>15</v>
      </c>
      <c r="F10" s="1">
        <v>0.1</v>
      </c>
      <c r="G10" s="1">
        <v>13.5</v>
      </c>
      <c r="H10" s="1" t="s">
        <v>8</v>
      </c>
    </row>
    <row r="11" spans="1:9" x14ac:dyDescent="0.3">
      <c r="A11" s="2">
        <v>36527</v>
      </c>
      <c r="B11" s="1">
        <v>214841</v>
      </c>
      <c r="C11" s="1">
        <v>10018</v>
      </c>
      <c r="D11" s="1">
        <v>3</v>
      </c>
      <c r="E11" s="1">
        <v>32</v>
      </c>
      <c r="F11" s="1">
        <v>0</v>
      </c>
      <c r="G11" s="1">
        <v>96</v>
      </c>
      <c r="H11" s="1" t="s">
        <v>8</v>
      </c>
    </row>
    <row r="12" spans="1:9" x14ac:dyDescent="0.3">
      <c r="A12" s="2">
        <v>36527</v>
      </c>
      <c r="B12" s="1">
        <v>214841</v>
      </c>
      <c r="C12" s="1">
        <v>30025</v>
      </c>
      <c r="D12" s="1">
        <v>2</v>
      </c>
      <c r="E12" s="1">
        <v>25</v>
      </c>
      <c r="F12" s="1">
        <v>0</v>
      </c>
      <c r="G12" s="1">
        <v>50</v>
      </c>
      <c r="H12" s="1" t="s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workbookViewId="0">
      <selection activeCell="A7" sqref="A7"/>
    </sheetView>
  </sheetViews>
  <sheetFormatPr defaultColWidth="9" defaultRowHeight="13.5" x14ac:dyDescent="0.3"/>
  <cols>
    <col min="1" max="1" width="10" style="1" bestFit="1" customWidth="1"/>
    <col min="2" max="3" width="9" style="1"/>
    <col min="4" max="4" width="7.375" style="1" customWidth="1"/>
    <col min="5" max="7" width="9" style="1"/>
    <col min="8" max="8" width="11.375" style="1" bestFit="1" customWidth="1"/>
    <col min="9" max="16384" width="9" style="1"/>
  </cols>
  <sheetData>
    <row r="1" spans="1:8" x14ac:dyDescent="0.3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2">
        <v>36527</v>
      </c>
      <c r="B2" s="1">
        <v>209003</v>
      </c>
      <c r="C2" s="1">
        <v>90006</v>
      </c>
      <c r="D2" s="1">
        <v>2</v>
      </c>
      <c r="E2" s="1">
        <v>12</v>
      </c>
      <c r="F2" s="1">
        <v>0</v>
      </c>
      <c r="G2" s="1">
        <v>24</v>
      </c>
    </row>
    <row r="3" spans="1:8" x14ac:dyDescent="0.3">
      <c r="A3" s="2">
        <v>36527</v>
      </c>
      <c r="B3" s="1">
        <v>209003</v>
      </c>
      <c r="C3" s="1">
        <v>10017</v>
      </c>
      <c r="D3" s="1">
        <v>3</v>
      </c>
      <c r="E3" s="1">
        <v>65</v>
      </c>
      <c r="F3" s="1">
        <v>0</v>
      </c>
      <c r="G3" s="1">
        <v>195</v>
      </c>
    </row>
    <row r="4" spans="1:8" x14ac:dyDescent="0.3">
      <c r="A4" s="2">
        <v>36527</v>
      </c>
      <c r="B4" s="1">
        <v>209003</v>
      </c>
      <c r="C4" s="1">
        <v>90006</v>
      </c>
      <c r="D4" s="1">
        <v>2</v>
      </c>
      <c r="E4" s="1">
        <v>12</v>
      </c>
      <c r="F4" s="1">
        <v>0</v>
      </c>
      <c r="G4" s="1">
        <v>24</v>
      </c>
    </row>
    <row r="5" spans="1:8" x14ac:dyDescent="0.3">
      <c r="A5" s="2">
        <v>36527</v>
      </c>
      <c r="B5" s="1">
        <v>209003</v>
      </c>
      <c r="C5" s="1">
        <v>20006</v>
      </c>
      <c r="D5" s="1">
        <v>5</v>
      </c>
      <c r="E5" s="1">
        <v>110</v>
      </c>
      <c r="F5" s="1">
        <v>0</v>
      </c>
      <c r="G5" s="1">
        <v>550</v>
      </c>
    </row>
    <row r="6" spans="1:8" x14ac:dyDescent="0.3">
      <c r="A6" s="2">
        <v>36527</v>
      </c>
      <c r="B6" s="1">
        <v>209003</v>
      </c>
      <c r="C6" s="1">
        <v>20024</v>
      </c>
      <c r="D6" s="1">
        <v>1</v>
      </c>
      <c r="E6" s="1">
        <v>10</v>
      </c>
      <c r="F6" s="1">
        <v>0</v>
      </c>
      <c r="G6" s="1">
        <v>10</v>
      </c>
    </row>
    <row r="7" spans="1:8" x14ac:dyDescent="0.3">
      <c r="A7" s="2">
        <v>36527</v>
      </c>
      <c r="B7" s="1">
        <v>209003</v>
      </c>
      <c r="C7" s="1">
        <v>10019</v>
      </c>
      <c r="D7" s="1">
        <v>1</v>
      </c>
      <c r="E7" s="1">
        <v>14</v>
      </c>
      <c r="F7" s="1">
        <v>0</v>
      </c>
      <c r="G7" s="1">
        <v>14</v>
      </c>
    </row>
    <row r="8" spans="1:8" x14ac:dyDescent="0.3">
      <c r="A8" s="2">
        <v>36527</v>
      </c>
      <c r="B8" s="1">
        <v>209003</v>
      </c>
      <c r="C8" s="1">
        <v>10011</v>
      </c>
      <c r="D8" s="1">
        <v>1</v>
      </c>
      <c r="E8" s="1">
        <v>32</v>
      </c>
      <c r="F8" s="1">
        <v>0.03</v>
      </c>
      <c r="G8" s="1">
        <v>31.04</v>
      </c>
    </row>
    <row r="9" spans="1:8" x14ac:dyDescent="0.3">
      <c r="A9" s="2">
        <v>36527</v>
      </c>
      <c r="B9" s="1">
        <v>209003</v>
      </c>
      <c r="C9" s="1">
        <v>20002</v>
      </c>
      <c r="D9" s="1">
        <v>1</v>
      </c>
      <c r="E9" s="1">
        <v>15</v>
      </c>
      <c r="F9" s="1">
        <v>0</v>
      </c>
      <c r="G9" s="1">
        <v>15</v>
      </c>
    </row>
    <row r="10" spans="1:8" x14ac:dyDescent="0.3">
      <c r="A10" s="2">
        <v>36527</v>
      </c>
      <c r="B10" s="1">
        <v>216025</v>
      </c>
      <c r="C10" s="1">
        <v>20023</v>
      </c>
      <c r="D10" s="1">
        <v>1</v>
      </c>
      <c r="E10" s="1">
        <v>10</v>
      </c>
      <c r="F10" s="1">
        <v>0</v>
      </c>
      <c r="G10" s="1">
        <v>10</v>
      </c>
    </row>
    <row r="11" spans="1:8" x14ac:dyDescent="0.3">
      <c r="A11" s="2">
        <v>36527</v>
      </c>
      <c r="B11" s="1">
        <v>216025</v>
      </c>
      <c r="C11" s="1">
        <v>20005</v>
      </c>
      <c r="D11" s="1">
        <v>3</v>
      </c>
      <c r="E11" s="1">
        <v>50</v>
      </c>
      <c r="F11" s="1">
        <v>0.1</v>
      </c>
      <c r="G11" s="1">
        <v>135</v>
      </c>
    </row>
    <row r="12" spans="1:8" x14ac:dyDescent="0.3">
      <c r="A12" s="2">
        <v>36527</v>
      </c>
      <c r="B12" s="1">
        <v>216025</v>
      </c>
      <c r="C12" s="1">
        <v>20009</v>
      </c>
      <c r="D12" s="1">
        <v>2</v>
      </c>
      <c r="E12" s="1">
        <v>25</v>
      </c>
      <c r="F12" s="1">
        <v>0</v>
      </c>
      <c r="G12" s="1">
        <v>50</v>
      </c>
    </row>
    <row r="13" spans="1:8" x14ac:dyDescent="0.3">
      <c r="A13" s="2">
        <v>36527</v>
      </c>
      <c r="B13" s="1">
        <v>216025</v>
      </c>
      <c r="C13" s="1">
        <v>20010</v>
      </c>
      <c r="D13" s="1">
        <v>1</v>
      </c>
      <c r="E13" s="1">
        <v>65</v>
      </c>
      <c r="F13" s="1">
        <v>0</v>
      </c>
      <c r="G13" s="1">
        <v>65</v>
      </c>
    </row>
    <row r="14" spans="1:8" x14ac:dyDescent="0.3">
      <c r="A14" s="2">
        <v>36527</v>
      </c>
      <c r="B14" s="1">
        <v>216025</v>
      </c>
      <c r="C14" s="1">
        <v>20001</v>
      </c>
      <c r="D14" s="1">
        <v>2</v>
      </c>
      <c r="E14" s="1">
        <v>10</v>
      </c>
      <c r="F14" s="1">
        <v>0.05</v>
      </c>
      <c r="G14" s="1">
        <v>19</v>
      </c>
    </row>
    <row r="15" spans="1:8" x14ac:dyDescent="0.3">
      <c r="A15" s="2">
        <v>36527</v>
      </c>
      <c r="B15" s="1">
        <v>216025</v>
      </c>
      <c r="C15" s="1">
        <v>20002</v>
      </c>
      <c r="D15" s="1">
        <v>3</v>
      </c>
      <c r="E15" s="1">
        <v>15</v>
      </c>
      <c r="F15" s="1">
        <v>0</v>
      </c>
      <c r="G15" s="1">
        <v>45</v>
      </c>
    </row>
    <row r="16" spans="1:8" x14ac:dyDescent="0.3">
      <c r="A16" s="2">
        <v>36527</v>
      </c>
      <c r="B16" s="1">
        <v>216025</v>
      </c>
      <c r="C16" s="1">
        <v>30025</v>
      </c>
      <c r="D16" s="1">
        <v>2</v>
      </c>
      <c r="E16" s="1">
        <v>25</v>
      </c>
      <c r="F16" s="1">
        <v>0</v>
      </c>
      <c r="G16" s="1">
        <v>50</v>
      </c>
    </row>
    <row r="17" spans="1:7" x14ac:dyDescent="0.3">
      <c r="A17" s="2">
        <v>36527</v>
      </c>
      <c r="B17" s="1">
        <v>216025</v>
      </c>
      <c r="C17" s="1">
        <v>20003</v>
      </c>
      <c r="D17" s="1">
        <v>1</v>
      </c>
      <c r="E17" s="1">
        <v>21</v>
      </c>
      <c r="F17" s="1">
        <v>0</v>
      </c>
      <c r="G17" s="1">
        <v>21</v>
      </c>
    </row>
    <row r="18" spans="1:7" x14ac:dyDescent="0.3">
      <c r="A18" s="2">
        <v>36527</v>
      </c>
      <c r="B18" s="1">
        <v>216025</v>
      </c>
      <c r="C18" s="1">
        <v>20024</v>
      </c>
      <c r="D18" s="1">
        <v>1</v>
      </c>
      <c r="E18" s="1">
        <v>10</v>
      </c>
      <c r="F18" s="1">
        <v>0</v>
      </c>
      <c r="G18" s="1">
        <v>10</v>
      </c>
    </row>
    <row r="19" spans="1:7" x14ac:dyDescent="0.3">
      <c r="A19" s="2">
        <v>36527</v>
      </c>
      <c r="B19" s="1">
        <v>216025</v>
      </c>
      <c r="C19" s="1">
        <v>20001</v>
      </c>
      <c r="D19" s="1">
        <v>1</v>
      </c>
      <c r="E19" s="1">
        <v>10</v>
      </c>
      <c r="F19" s="1">
        <v>0.05</v>
      </c>
      <c r="G19" s="1">
        <v>9.5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E1A2B-5804-4F0A-973F-B71D374C57C4}">
  <dimension ref="A1:H19"/>
  <sheetViews>
    <sheetView workbookViewId="0"/>
  </sheetViews>
  <sheetFormatPr defaultRowHeight="16.5" x14ac:dyDescent="0.3"/>
  <cols>
    <col min="1" max="1" width="11.125" bestFit="1" customWidth="1"/>
    <col min="2" max="3" width="11.25" bestFit="1" customWidth="1"/>
    <col min="4" max="4" width="9.375" bestFit="1" customWidth="1"/>
    <col min="5" max="5" width="7.5" bestFit="1" customWidth="1"/>
    <col min="6" max="7" width="9.375" bestFit="1" customWidth="1"/>
    <col min="8" max="8" width="7.5" bestFit="1" customWidth="1"/>
  </cols>
  <sheetData>
    <row r="1" spans="1:8" x14ac:dyDescent="0.3">
      <c r="A1" t="s">
        <v>0</v>
      </c>
      <c r="B1" t="s">
        <v>1</v>
      </c>
      <c r="C1" t="s">
        <v>28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 s="4">
        <v>36527</v>
      </c>
      <c r="B2">
        <v>21245</v>
      </c>
      <c r="C2">
        <v>90006</v>
      </c>
      <c r="D2">
        <v>1</v>
      </c>
      <c r="E2">
        <v>12</v>
      </c>
      <c r="F2">
        <v>0</v>
      </c>
      <c r="G2">
        <v>12</v>
      </c>
    </row>
    <row r="3" spans="1:8" x14ac:dyDescent="0.3">
      <c r="A3" s="4">
        <v>36527</v>
      </c>
      <c r="B3">
        <v>21245</v>
      </c>
      <c r="C3">
        <v>20010</v>
      </c>
      <c r="D3">
        <v>5</v>
      </c>
      <c r="E3">
        <v>65</v>
      </c>
      <c r="F3">
        <v>0</v>
      </c>
      <c r="G3">
        <v>325</v>
      </c>
    </row>
    <row r="4" spans="1:8" x14ac:dyDescent="0.3">
      <c r="A4" s="4">
        <v>36527</v>
      </c>
      <c r="B4">
        <v>21245</v>
      </c>
      <c r="C4">
        <v>32008</v>
      </c>
      <c r="D4">
        <v>10</v>
      </c>
      <c r="E4">
        <v>33</v>
      </c>
      <c r="F4">
        <v>0</v>
      </c>
      <c r="G4">
        <v>330</v>
      </c>
    </row>
    <row r="5" spans="1:8" x14ac:dyDescent="0.3">
      <c r="A5" s="4">
        <v>36527</v>
      </c>
      <c r="B5">
        <v>21245</v>
      </c>
      <c r="C5">
        <v>10011</v>
      </c>
      <c r="D5">
        <v>6</v>
      </c>
      <c r="E5">
        <v>32</v>
      </c>
      <c r="F5">
        <v>0.03</v>
      </c>
      <c r="G5">
        <v>186.24</v>
      </c>
    </row>
    <row r="6" spans="1:8" x14ac:dyDescent="0.3">
      <c r="A6" s="4">
        <v>36527</v>
      </c>
      <c r="B6">
        <v>21245</v>
      </c>
      <c r="C6">
        <v>20001</v>
      </c>
      <c r="D6">
        <v>3</v>
      </c>
      <c r="E6">
        <v>10</v>
      </c>
      <c r="F6">
        <v>0.05</v>
      </c>
      <c r="G6">
        <v>28.5</v>
      </c>
    </row>
    <row r="7" spans="1:8" x14ac:dyDescent="0.3">
      <c r="A7" s="4">
        <v>36527</v>
      </c>
      <c r="B7">
        <v>209003</v>
      </c>
      <c r="C7">
        <v>10019</v>
      </c>
      <c r="D7">
        <v>3</v>
      </c>
      <c r="E7">
        <v>14</v>
      </c>
      <c r="F7">
        <v>0</v>
      </c>
      <c r="G7">
        <v>42</v>
      </c>
    </row>
    <row r="8" spans="1:8" x14ac:dyDescent="0.3">
      <c r="A8" s="4">
        <v>36527</v>
      </c>
      <c r="B8">
        <v>209003</v>
      </c>
      <c r="C8">
        <v>90006</v>
      </c>
      <c r="D8">
        <v>4</v>
      </c>
      <c r="E8">
        <v>12</v>
      </c>
      <c r="F8">
        <v>0</v>
      </c>
      <c r="G8">
        <v>48</v>
      </c>
    </row>
    <row r="9" spans="1:8" x14ac:dyDescent="0.3">
      <c r="A9" s="4">
        <v>36527</v>
      </c>
      <c r="B9">
        <v>209003</v>
      </c>
      <c r="C9">
        <v>10021</v>
      </c>
      <c r="D9">
        <v>17</v>
      </c>
      <c r="E9">
        <v>15</v>
      </c>
      <c r="F9">
        <v>0.1</v>
      </c>
      <c r="G9">
        <v>229.5</v>
      </c>
    </row>
    <row r="10" spans="1:8" x14ac:dyDescent="0.3">
      <c r="A10" s="4">
        <v>36527</v>
      </c>
      <c r="B10">
        <v>209003</v>
      </c>
      <c r="C10">
        <v>20009</v>
      </c>
      <c r="D10">
        <v>3</v>
      </c>
      <c r="E10">
        <v>25</v>
      </c>
      <c r="F10">
        <v>0</v>
      </c>
      <c r="G10">
        <v>75</v>
      </c>
    </row>
    <row r="11" spans="1:8" x14ac:dyDescent="0.3">
      <c r="A11" s="4">
        <v>36527</v>
      </c>
      <c r="B11">
        <v>209003</v>
      </c>
      <c r="C11">
        <v>20002</v>
      </c>
      <c r="D11">
        <v>4</v>
      </c>
      <c r="E11">
        <v>15</v>
      </c>
      <c r="F11">
        <v>0</v>
      </c>
      <c r="G11">
        <v>60</v>
      </c>
    </row>
    <row r="12" spans="1:8" x14ac:dyDescent="0.3">
      <c r="A12" s="4">
        <v>36527</v>
      </c>
      <c r="B12">
        <v>216010</v>
      </c>
      <c r="C12">
        <v>10011</v>
      </c>
      <c r="D12">
        <v>2</v>
      </c>
      <c r="E12">
        <v>32</v>
      </c>
      <c r="F12">
        <v>0.03</v>
      </c>
      <c r="G12">
        <v>62.08</v>
      </c>
    </row>
    <row r="13" spans="1:8" x14ac:dyDescent="0.3">
      <c r="A13" s="4">
        <v>36527</v>
      </c>
      <c r="B13">
        <v>216010</v>
      </c>
      <c r="C13">
        <v>10019</v>
      </c>
      <c r="D13">
        <v>6</v>
      </c>
      <c r="E13">
        <v>14</v>
      </c>
      <c r="F13">
        <v>0</v>
      </c>
      <c r="G13">
        <v>84</v>
      </c>
    </row>
    <row r="14" spans="1:8" x14ac:dyDescent="0.3">
      <c r="A14" s="4">
        <v>36527</v>
      </c>
      <c r="B14">
        <v>216010</v>
      </c>
      <c r="C14">
        <v>20001</v>
      </c>
      <c r="D14">
        <v>1</v>
      </c>
      <c r="E14">
        <v>10</v>
      </c>
      <c r="F14">
        <v>0.05</v>
      </c>
      <c r="G14">
        <v>9.5</v>
      </c>
    </row>
    <row r="15" spans="1:8" x14ac:dyDescent="0.3">
      <c r="A15" s="4">
        <v>36527</v>
      </c>
      <c r="B15">
        <v>216010</v>
      </c>
      <c r="C15">
        <v>32020</v>
      </c>
      <c r="D15">
        <v>1</v>
      </c>
      <c r="E15">
        <v>16</v>
      </c>
      <c r="F15">
        <v>0</v>
      </c>
      <c r="G15">
        <v>16</v>
      </c>
    </row>
    <row r="16" spans="1:8" x14ac:dyDescent="0.3">
      <c r="A16" s="4">
        <v>36527</v>
      </c>
      <c r="B16">
        <v>217031</v>
      </c>
      <c r="C16">
        <v>30025</v>
      </c>
      <c r="D16">
        <v>3</v>
      </c>
      <c r="E16">
        <v>25</v>
      </c>
      <c r="F16">
        <v>0</v>
      </c>
      <c r="G16">
        <v>75</v>
      </c>
    </row>
    <row r="17" spans="1:7" x14ac:dyDescent="0.3">
      <c r="A17" s="4">
        <v>36527</v>
      </c>
      <c r="B17">
        <v>217031</v>
      </c>
      <c r="C17">
        <v>90006</v>
      </c>
      <c r="D17">
        <v>1</v>
      </c>
      <c r="E17">
        <v>12</v>
      </c>
      <c r="F17">
        <v>0</v>
      </c>
      <c r="G17">
        <v>12</v>
      </c>
    </row>
    <row r="18" spans="1:7" x14ac:dyDescent="0.3">
      <c r="A18" s="4">
        <v>36527</v>
      </c>
      <c r="B18">
        <v>217031</v>
      </c>
      <c r="C18">
        <v>20024</v>
      </c>
      <c r="D18">
        <v>3</v>
      </c>
      <c r="E18">
        <v>10</v>
      </c>
      <c r="F18">
        <v>0</v>
      </c>
      <c r="G18">
        <v>30</v>
      </c>
    </row>
    <row r="19" spans="1:7" x14ac:dyDescent="0.3">
      <c r="A19" s="4">
        <v>36527</v>
      </c>
      <c r="B19">
        <v>217031</v>
      </c>
      <c r="C19">
        <v>20003</v>
      </c>
      <c r="D19">
        <v>1</v>
      </c>
      <c r="E19">
        <v>21</v>
      </c>
      <c r="F19">
        <v>0</v>
      </c>
      <c r="G19">
        <v>21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7ADBC-5369-4AF7-9662-0910CE45E1DD}">
  <dimension ref="A1:I12"/>
  <sheetViews>
    <sheetView workbookViewId="0"/>
  </sheetViews>
  <sheetFormatPr defaultRowHeight="16.5" x14ac:dyDescent="0.3"/>
  <cols>
    <col min="1" max="1" width="11.125" bestFit="1" customWidth="1"/>
    <col min="2" max="3" width="11.25" bestFit="1" customWidth="1"/>
    <col min="4" max="4" width="9.375" bestFit="1" customWidth="1"/>
    <col min="5" max="5" width="7.5" bestFit="1" customWidth="1"/>
    <col min="6" max="7" width="9.375" bestFit="1" customWidth="1"/>
    <col min="8" max="8" width="11.25" bestFit="1" customWidth="1"/>
    <col min="9" max="9" width="7.5" bestFit="1" customWidth="1"/>
  </cols>
  <sheetData>
    <row r="1" spans="1:9" x14ac:dyDescent="0.3">
      <c r="A1" t="s">
        <v>0</v>
      </c>
      <c r="B1" t="s">
        <v>1</v>
      </c>
      <c r="C1" t="s">
        <v>28</v>
      </c>
      <c r="D1" t="s">
        <v>2</v>
      </c>
      <c r="E1" t="s">
        <v>3</v>
      </c>
      <c r="F1" t="s">
        <v>4</v>
      </c>
      <c r="G1" t="s">
        <v>5</v>
      </c>
      <c r="H1" t="s">
        <v>29</v>
      </c>
      <c r="I1" t="s">
        <v>6</v>
      </c>
    </row>
    <row r="2" spans="1:9" x14ac:dyDescent="0.3">
      <c r="A2" s="4">
        <v>36527</v>
      </c>
      <c r="B2">
        <v>209001</v>
      </c>
      <c r="C2">
        <v>10018</v>
      </c>
      <c r="D2">
        <v>2</v>
      </c>
      <c r="E2">
        <v>32</v>
      </c>
      <c r="F2">
        <v>0</v>
      </c>
      <c r="G2">
        <v>64</v>
      </c>
      <c r="H2" s="3" t="s">
        <v>7</v>
      </c>
    </row>
    <row r="3" spans="1:9" x14ac:dyDescent="0.3">
      <c r="A3" s="4">
        <v>36527</v>
      </c>
      <c r="B3">
        <v>209001</v>
      </c>
      <c r="C3">
        <v>10021</v>
      </c>
      <c r="D3">
        <v>3</v>
      </c>
      <c r="E3">
        <v>15</v>
      </c>
      <c r="F3">
        <v>0.1</v>
      </c>
      <c r="G3">
        <v>40.5</v>
      </c>
      <c r="H3" s="3" t="s">
        <v>7</v>
      </c>
    </row>
    <row r="4" spans="1:9" x14ac:dyDescent="0.3">
      <c r="A4" s="4">
        <v>36527</v>
      </c>
      <c r="B4">
        <v>209001</v>
      </c>
      <c r="C4">
        <v>10017</v>
      </c>
      <c r="D4">
        <v>2</v>
      </c>
      <c r="E4">
        <v>65</v>
      </c>
      <c r="F4">
        <v>0</v>
      </c>
      <c r="G4">
        <v>130</v>
      </c>
      <c r="H4" s="3" t="s">
        <v>7</v>
      </c>
    </row>
    <row r="5" spans="1:9" x14ac:dyDescent="0.3">
      <c r="A5" s="4">
        <v>36527</v>
      </c>
      <c r="B5">
        <v>209001</v>
      </c>
      <c r="C5">
        <v>20002</v>
      </c>
      <c r="D5">
        <v>5</v>
      </c>
      <c r="E5">
        <v>15</v>
      </c>
      <c r="F5">
        <v>0</v>
      </c>
      <c r="G5">
        <v>75</v>
      </c>
      <c r="H5" s="3" t="s">
        <v>7</v>
      </c>
    </row>
    <row r="6" spans="1:9" x14ac:dyDescent="0.3">
      <c r="A6" s="4">
        <v>36527</v>
      </c>
      <c r="B6">
        <v>209001</v>
      </c>
      <c r="C6">
        <v>30025</v>
      </c>
      <c r="D6">
        <v>1</v>
      </c>
      <c r="E6">
        <v>25</v>
      </c>
      <c r="F6">
        <v>0</v>
      </c>
      <c r="G6">
        <v>25</v>
      </c>
      <c r="H6" s="3" t="s">
        <v>7</v>
      </c>
    </row>
    <row r="7" spans="1:9" x14ac:dyDescent="0.3">
      <c r="A7" s="4">
        <v>36527</v>
      </c>
      <c r="B7">
        <v>209001</v>
      </c>
      <c r="C7">
        <v>10011</v>
      </c>
      <c r="D7">
        <v>1</v>
      </c>
      <c r="E7">
        <v>32</v>
      </c>
      <c r="F7">
        <v>0.03</v>
      </c>
      <c r="G7">
        <v>31.04</v>
      </c>
      <c r="H7" s="3" t="s">
        <v>7</v>
      </c>
    </row>
    <row r="8" spans="1:9" x14ac:dyDescent="0.3">
      <c r="A8" s="4">
        <v>36527</v>
      </c>
      <c r="B8">
        <v>214841</v>
      </c>
      <c r="C8">
        <v>10018</v>
      </c>
      <c r="D8">
        <v>1</v>
      </c>
      <c r="E8">
        <v>32</v>
      </c>
      <c r="F8">
        <v>0</v>
      </c>
      <c r="G8">
        <v>32</v>
      </c>
      <c r="H8" s="3" t="s">
        <v>8</v>
      </c>
    </row>
    <row r="9" spans="1:9" x14ac:dyDescent="0.3">
      <c r="A9" s="4">
        <v>36527</v>
      </c>
      <c r="B9">
        <v>214841</v>
      </c>
      <c r="C9">
        <v>10019</v>
      </c>
      <c r="D9">
        <v>1</v>
      </c>
      <c r="E9">
        <v>14</v>
      </c>
      <c r="F9">
        <v>0</v>
      </c>
      <c r="G9">
        <v>14</v>
      </c>
      <c r="H9" s="3" t="s">
        <v>8</v>
      </c>
    </row>
    <row r="10" spans="1:9" x14ac:dyDescent="0.3">
      <c r="A10" s="4">
        <v>36527</v>
      </c>
      <c r="B10">
        <v>214841</v>
      </c>
      <c r="C10">
        <v>10021</v>
      </c>
      <c r="D10">
        <v>1</v>
      </c>
      <c r="E10">
        <v>15</v>
      </c>
      <c r="F10">
        <v>0.1</v>
      </c>
      <c r="G10">
        <v>13.5</v>
      </c>
      <c r="H10" s="3" t="s">
        <v>8</v>
      </c>
    </row>
    <row r="11" spans="1:9" x14ac:dyDescent="0.3">
      <c r="A11" s="4">
        <v>36527</v>
      </c>
      <c r="B11">
        <v>214841</v>
      </c>
      <c r="C11">
        <v>10018</v>
      </c>
      <c r="D11">
        <v>3</v>
      </c>
      <c r="E11">
        <v>32</v>
      </c>
      <c r="F11">
        <v>0</v>
      </c>
      <c r="G11">
        <v>96</v>
      </c>
      <c r="H11" s="3" t="s">
        <v>8</v>
      </c>
    </row>
    <row r="12" spans="1:9" x14ac:dyDescent="0.3">
      <c r="A12" s="4">
        <v>36527</v>
      </c>
      <c r="B12">
        <v>214841</v>
      </c>
      <c r="C12">
        <v>30025</v>
      </c>
      <c r="D12">
        <v>2</v>
      </c>
      <c r="E12">
        <v>25</v>
      </c>
      <c r="F12">
        <v>0</v>
      </c>
      <c r="G12">
        <v>50</v>
      </c>
      <c r="H12" s="3" t="s">
        <v>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D0C63-AB4A-4AB8-9871-6DAEC5DFB4DA}">
  <dimension ref="A1:H19"/>
  <sheetViews>
    <sheetView workbookViewId="0"/>
  </sheetViews>
  <sheetFormatPr defaultRowHeight="16.5" x14ac:dyDescent="0.3"/>
  <cols>
    <col min="1" max="1" width="11.125" bestFit="1" customWidth="1"/>
    <col min="2" max="3" width="11.25" bestFit="1" customWidth="1"/>
    <col min="4" max="4" width="9.375" bestFit="1" customWidth="1"/>
    <col min="5" max="5" width="7.5" bestFit="1" customWidth="1"/>
    <col min="6" max="7" width="9.375" bestFit="1" customWidth="1"/>
    <col min="8" max="8" width="7.5" bestFit="1" customWidth="1"/>
  </cols>
  <sheetData>
    <row r="1" spans="1:8" x14ac:dyDescent="0.3">
      <c r="A1" t="s">
        <v>0</v>
      </c>
      <c r="B1" t="s">
        <v>1</v>
      </c>
      <c r="C1" t="s">
        <v>28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 s="4">
        <v>36527</v>
      </c>
      <c r="B2">
        <v>209003</v>
      </c>
      <c r="C2">
        <v>90006</v>
      </c>
      <c r="D2">
        <v>2</v>
      </c>
      <c r="E2">
        <v>12</v>
      </c>
      <c r="F2">
        <v>0</v>
      </c>
      <c r="G2">
        <v>24</v>
      </c>
    </row>
    <row r="3" spans="1:8" x14ac:dyDescent="0.3">
      <c r="A3" s="4">
        <v>36527</v>
      </c>
      <c r="B3">
        <v>209003</v>
      </c>
      <c r="C3">
        <v>10017</v>
      </c>
      <c r="D3">
        <v>3</v>
      </c>
      <c r="E3">
        <v>65</v>
      </c>
      <c r="F3">
        <v>0</v>
      </c>
      <c r="G3">
        <v>195</v>
      </c>
    </row>
    <row r="4" spans="1:8" x14ac:dyDescent="0.3">
      <c r="A4" s="4">
        <v>36527</v>
      </c>
      <c r="B4">
        <v>209003</v>
      </c>
      <c r="C4">
        <v>90006</v>
      </c>
      <c r="D4">
        <v>2</v>
      </c>
      <c r="E4">
        <v>12</v>
      </c>
      <c r="F4">
        <v>0</v>
      </c>
      <c r="G4">
        <v>24</v>
      </c>
    </row>
    <row r="5" spans="1:8" x14ac:dyDescent="0.3">
      <c r="A5" s="4">
        <v>36527</v>
      </c>
      <c r="B5">
        <v>209003</v>
      </c>
      <c r="C5">
        <v>20006</v>
      </c>
      <c r="D5">
        <v>5</v>
      </c>
      <c r="E5">
        <v>110</v>
      </c>
      <c r="F5">
        <v>0</v>
      </c>
      <c r="G5">
        <v>550</v>
      </c>
    </row>
    <row r="6" spans="1:8" x14ac:dyDescent="0.3">
      <c r="A6" s="4">
        <v>36527</v>
      </c>
      <c r="B6">
        <v>209003</v>
      </c>
      <c r="C6">
        <v>20024</v>
      </c>
      <c r="D6">
        <v>1</v>
      </c>
      <c r="E6">
        <v>10</v>
      </c>
      <c r="F6">
        <v>0</v>
      </c>
      <c r="G6">
        <v>10</v>
      </c>
    </row>
    <row r="7" spans="1:8" x14ac:dyDescent="0.3">
      <c r="A7" s="4">
        <v>36527</v>
      </c>
      <c r="B7">
        <v>209003</v>
      </c>
      <c r="C7">
        <v>10019</v>
      </c>
      <c r="D7">
        <v>1</v>
      </c>
      <c r="E7">
        <v>14</v>
      </c>
      <c r="F7">
        <v>0</v>
      </c>
      <c r="G7">
        <v>14</v>
      </c>
    </row>
    <row r="8" spans="1:8" x14ac:dyDescent="0.3">
      <c r="A8" s="4">
        <v>36527</v>
      </c>
      <c r="B8">
        <v>209003</v>
      </c>
      <c r="C8">
        <v>10011</v>
      </c>
      <c r="D8">
        <v>1</v>
      </c>
      <c r="E8">
        <v>32</v>
      </c>
      <c r="F8">
        <v>0.03</v>
      </c>
      <c r="G8">
        <v>31.04</v>
      </c>
    </row>
    <row r="9" spans="1:8" x14ac:dyDescent="0.3">
      <c r="A9" s="4">
        <v>36527</v>
      </c>
      <c r="B9">
        <v>209003</v>
      </c>
      <c r="C9">
        <v>20002</v>
      </c>
      <c r="D9">
        <v>1</v>
      </c>
      <c r="E9">
        <v>15</v>
      </c>
      <c r="F9">
        <v>0</v>
      </c>
      <c r="G9">
        <v>15</v>
      </c>
    </row>
    <row r="10" spans="1:8" x14ac:dyDescent="0.3">
      <c r="A10" s="4">
        <v>36527</v>
      </c>
      <c r="B10">
        <v>216025</v>
      </c>
      <c r="C10">
        <v>20023</v>
      </c>
      <c r="D10">
        <v>1</v>
      </c>
      <c r="E10">
        <v>10</v>
      </c>
      <c r="F10">
        <v>0</v>
      </c>
      <c r="G10">
        <v>10</v>
      </c>
    </row>
    <row r="11" spans="1:8" x14ac:dyDescent="0.3">
      <c r="A11" s="4">
        <v>36527</v>
      </c>
      <c r="B11">
        <v>216025</v>
      </c>
      <c r="C11">
        <v>20005</v>
      </c>
      <c r="D11">
        <v>3</v>
      </c>
      <c r="E11">
        <v>50</v>
      </c>
      <c r="F11">
        <v>0.1</v>
      </c>
      <c r="G11">
        <v>135</v>
      </c>
    </row>
    <row r="12" spans="1:8" x14ac:dyDescent="0.3">
      <c r="A12" s="4">
        <v>36527</v>
      </c>
      <c r="B12">
        <v>216025</v>
      </c>
      <c r="C12">
        <v>20009</v>
      </c>
      <c r="D12">
        <v>2</v>
      </c>
      <c r="E12">
        <v>25</v>
      </c>
      <c r="F12">
        <v>0</v>
      </c>
      <c r="G12">
        <v>50</v>
      </c>
    </row>
    <row r="13" spans="1:8" x14ac:dyDescent="0.3">
      <c r="A13" s="4">
        <v>36527</v>
      </c>
      <c r="B13">
        <v>216025</v>
      </c>
      <c r="C13">
        <v>20010</v>
      </c>
      <c r="D13">
        <v>1</v>
      </c>
      <c r="E13">
        <v>65</v>
      </c>
      <c r="F13">
        <v>0</v>
      </c>
      <c r="G13">
        <v>65</v>
      </c>
    </row>
    <row r="14" spans="1:8" x14ac:dyDescent="0.3">
      <c r="A14" s="4">
        <v>36527</v>
      </c>
      <c r="B14">
        <v>216025</v>
      </c>
      <c r="C14">
        <v>20001</v>
      </c>
      <c r="D14">
        <v>2</v>
      </c>
      <c r="E14">
        <v>10</v>
      </c>
      <c r="F14">
        <v>0.05</v>
      </c>
      <c r="G14">
        <v>19</v>
      </c>
    </row>
    <row r="15" spans="1:8" x14ac:dyDescent="0.3">
      <c r="A15" s="4">
        <v>36527</v>
      </c>
      <c r="B15">
        <v>216025</v>
      </c>
      <c r="C15">
        <v>20002</v>
      </c>
      <c r="D15">
        <v>3</v>
      </c>
      <c r="E15">
        <v>15</v>
      </c>
      <c r="F15">
        <v>0</v>
      </c>
      <c r="G15">
        <v>45</v>
      </c>
    </row>
    <row r="16" spans="1:8" x14ac:dyDescent="0.3">
      <c r="A16" s="4">
        <v>36527</v>
      </c>
      <c r="B16">
        <v>216025</v>
      </c>
      <c r="C16">
        <v>30025</v>
      </c>
      <c r="D16">
        <v>2</v>
      </c>
      <c r="E16">
        <v>25</v>
      </c>
      <c r="F16">
        <v>0</v>
      </c>
      <c r="G16">
        <v>50</v>
      </c>
    </row>
    <row r="17" spans="1:7" x14ac:dyDescent="0.3">
      <c r="A17" s="4">
        <v>36527</v>
      </c>
      <c r="B17">
        <v>216025</v>
      </c>
      <c r="C17">
        <v>20003</v>
      </c>
      <c r="D17">
        <v>1</v>
      </c>
      <c r="E17">
        <v>21</v>
      </c>
      <c r="F17">
        <v>0</v>
      </c>
      <c r="G17">
        <v>21</v>
      </c>
    </row>
    <row r="18" spans="1:7" x14ac:dyDescent="0.3">
      <c r="A18" s="4">
        <v>36527</v>
      </c>
      <c r="B18">
        <v>216025</v>
      </c>
      <c r="C18">
        <v>20024</v>
      </c>
      <c r="D18">
        <v>1</v>
      </c>
      <c r="E18">
        <v>10</v>
      </c>
      <c r="F18">
        <v>0</v>
      </c>
      <c r="G18">
        <v>10</v>
      </c>
    </row>
    <row r="19" spans="1:7" x14ac:dyDescent="0.3">
      <c r="A19" s="4">
        <v>36527</v>
      </c>
      <c r="B19">
        <v>216025</v>
      </c>
      <c r="C19">
        <v>20001</v>
      </c>
      <c r="D19">
        <v>1</v>
      </c>
      <c r="E19">
        <v>10</v>
      </c>
      <c r="F19">
        <v>0.05</v>
      </c>
      <c r="G19">
        <v>9.5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30EF0-AC71-4BBF-937D-2BDD25497C41}">
  <dimension ref="A1:I15"/>
  <sheetViews>
    <sheetView workbookViewId="0"/>
  </sheetViews>
  <sheetFormatPr defaultRowHeight="16.5" x14ac:dyDescent="0.3"/>
  <cols>
    <col min="1" max="1" width="11.125" bestFit="1" customWidth="1"/>
    <col min="2" max="3" width="11.25" bestFit="1" customWidth="1"/>
    <col min="4" max="4" width="9.375" bestFit="1" customWidth="1"/>
    <col min="5" max="5" width="7.5" bestFit="1" customWidth="1"/>
    <col min="6" max="7" width="9.375" bestFit="1" customWidth="1"/>
    <col min="8" max="8" width="11.25" bestFit="1" customWidth="1"/>
    <col min="9" max="9" width="7.5" bestFit="1" customWidth="1"/>
  </cols>
  <sheetData>
    <row r="1" spans="1:9" x14ac:dyDescent="0.3">
      <c r="A1" t="s">
        <v>0</v>
      </c>
      <c r="B1" t="s">
        <v>1</v>
      </c>
      <c r="C1" t="s">
        <v>28</v>
      </c>
      <c r="D1" t="s">
        <v>2</v>
      </c>
      <c r="E1" t="s">
        <v>3</v>
      </c>
      <c r="F1" t="s">
        <v>4</v>
      </c>
      <c r="G1" t="s">
        <v>5</v>
      </c>
      <c r="H1" t="s">
        <v>29</v>
      </c>
      <c r="I1" t="s">
        <v>6</v>
      </c>
    </row>
    <row r="2" spans="1:9" x14ac:dyDescent="0.3">
      <c r="A2" s="4">
        <v>36527</v>
      </c>
      <c r="B2">
        <v>209012</v>
      </c>
      <c r="C2">
        <v>20003</v>
      </c>
      <c r="D2">
        <v>3</v>
      </c>
      <c r="E2">
        <v>21</v>
      </c>
      <c r="F2">
        <v>0</v>
      </c>
      <c r="G2">
        <v>63</v>
      </c>
      <c r="H2" s="3" t="s">
        <v>8</v>
      </c>
    </row>
    <row r="3" spans="1:9" x14ac:dyDescent="0.3">
      <c r="A3" s="4">
        <v>36527</v>
      </c>
      <c r="B3">
        <v>209012</v>
      </c>
      <c r="C3">
        <v>10011</v>
      </c>
      <c r="D3">
        <v>7</v>
      </c>
      <c r="E3">
        <v>32</v>
      </c>
      <c r="F3">
        <v>0.03</v>
      </c>
      <c r="G3">
        <v>217.28</v>
      </c>
      <c r="H3" s="3" t="s">
        <v>8</v>
      </c>
    </row>
    <row r="4" spans="1:9" x14ac:dyDescent="0.3">
      <c r="A4" s="4">
        <v>36527</v>
      </c>
      <c r="B4">
        <v>216623</v>
      </c>
      <c r="C4">
        <v>20002</v>
      </c>
      <c r="D4">
        <v>1</v>
      </c>
      <c r="E4">
        <v>15</v>
      </c>
      <c r="F4">
        <v>0</v>
      </c>
      <c r="G4">
        <v>15</v>
      </c>
      <c r="H4" s="3" t="s">
        <v>7</v>
      </c>
    </row>
    <row r="5" spans="1:9" x14ac:dyDescent="0.3">
      <c r="A5" s="4">
        <v>36527</v>
      </c>
      <c r="B5">
        <v>216623</v>
      </c>
      <c r="C5">
        <v>20006</v>
      </c>
      <c r="D5">
        <v>8</v>
      </c>
      <c r="E5">
        <v>110</v>
      </c>
      <c r="F5">
        <v>0</v>
      </c>
      <c r="G5">
        <v>880</v>
      </c>
      <c r="H5" s="3" t="s">
        <v>7</v>
      </c>
    </row>
    <row r="6" spans="1:9" x14ac:dyDescent="0.3">
      <c r="A6" s="4">
        <v>36527</v>
      </c>
      <c r="B6">
        <v>216623</v>
      </c>
      <c r="C6">
        <v>32013</v>
      </c>
      <c r="D6">
        <v>9</v>
      </c>
      <c r="E6">
        <v>53</v>
      </c>
      <c r="F6">
        <v>0</v>
      </c>
      <c r="G6">
        <v>477</v>
      </c>
      <c r="H6" s="3" t="s">
        <v>7</v>
      </c>
    </row>
    <row r="7" spans="1:9" x14ac:dyDescent="0.3">
      <c r="A7" s="4">
        <v>36527</v>
      </c>
      <c r="B7">
        <v>210002</v>
      </c>
      <c r="C7">
        <v>10019</v>
      </c>
      <c r="D7">
        <v>2</v>
      </c>
      <c r="E7">
        <v>14</v>
      </c>
      <c r="F7">
        <v>0</v>
      </c>
      <c r="G7">
        <v>28</v>
      </c>
      <c r="H7" s="3" t="s">
        <v>7</v>
      </c>
    </row>
    <row r="8" spans="1:9" x14ac:dyDescent="0.3">
      <c r="A8" s="4">
        <v>36527</v>
      </c>
      <c r="B8">
        <v>210002</v>
      </c>
      <c r="C8">
        <v>32013</v>
      </c>
      <c r="D8">
        <v>1</v>
      </c>
      <c r="E8">
        <v>53</v>
      </c>
      <c r="F8">
        <v>0</v>
      </c>
      <c r="G8">
        <v>53</v>
      </c>
      <c r="H8" s="3" t="s">
        <v>7</v>
      </c>
    </row>
    <row r="9" spans="1:9" x14ac:dyDescent="0.3">
      <c r="A9" s="4">
        <v>36527</v>
      </c>
      <c r="B9">
        <v>210002</v>
      </c>
      <c r="C9">
        <v>32020</v>
      </c>
      <c r="D9">
        <v>5</v>
      </c>
      <c r="E9">
        <v>16</v>
      </c>
      <c r="F9">
        <v>0</v>
      </c>
      <c r="G9">
        <v>80</v>
      </c>
      <c r="H9" s="3" t="s">
        <v>8</v>
      </c>
    </row>
    <row r="10" spans="1:9" x14ac:dyDescent="0.3">
      <c r="A10" s="4">
        <v>36527</v>
      </c>
      <c r="B10">
        <v>210002</v>
      </c>
      <c r="C10">
        <v>10017</v>
      </c>
      <c r="D10">
        <v>1</v>
      </c>
      <c r="E10">
        <v>65</v>
      </c>
      <c r="F10">
        <v>0</v>
      </c>
      <c r="G10">
        <v>65</v>
      </c>
      <c r="H10" s="3" t="s">
        <v>8</v>
      </c>
    </row>
    <row r="11" spans="1:9" x14ac:dyDescent="0.3">
      <c r="A11" s="4">
        <v>36527</v>
      </c>
      <c r="B11">
        <v>210030</v>
      </c>
      <c r="C11">
        <v>20005</v>
      </c>
      <c r="D11">
        <v>3</v>
      </c>
      <c r="E11">
        <v>50</v>
      </c>
      <c r="F11">
        <v>0.1</v>
      </c>
      <c r="G11">
        <v>135</v>
      </c>
      <c r="H11" s="3" t="s">
        <v>8</v>
      </c>
    </row>
    <row r="12" spans="1:9" x14ac:dyDescent="0.3">
      <c r="A12" s="4">
        <v>36527</v>
      </c>
      <c r="B12">
        <v>210030</v>
      </c>
      <c r="C12">
        <v>32008</v>
      </c>
      <c r="D12">
        <v>1</v>
      </c>
      <c r="E12">
        <v>33</v>
      </c>
      <c r="F12">
        <v>0</v>
      </c>
      <c r="G12">
        <v>33</v>
      </c>
      <c r="H12" s="3" t="s">
        <v>8</v>
      </c>
    </row>
    <row r="13" spans="1:9" x14ac:dyDescent="0.3">
      <c r="A13" s="4">
        <v>36527</v>
      </c>
      <c r="B13">
        <v>210030</v>
      </c>
      <c r="C13">
        <v>20010</v>
      </c>
      <c r="D13">
        <v>1</v>
      </c>
      <c r="E13">
        <v>65</v>
      </c>
      <c r="F13">
        <v>0</v>
      </c>
      <c r="G13">
        <v>65</v>
      </c>
      <c r="H13" s="3" t="s">
        <v>8</v>
      </c>
    </row>
    <row r="14" spans="1:9" x14ac:dyDescent="0.3">
      <c r="A14" s="4">
        <v>36527</v>
      </c>
      <c r="B14">
        <v>216013</v>
      </c>
      <c r="C14">
        <v>32007</v>
      </c>
      <c r="D14">
        <v>5</v>
      </c>
      <c r="E14">
        <v>5</v>
      </c>
      <c r="F14">
        <v>0</v>
      </c>
      <c r="G14">
        <v>25</v>
      </c>
      <c r="H14" s="3" t="s">
        <v>8</v>
      </c>
    </row>
    <row r="15" spans="1:9" x14ac:dyDescent="0.3">
      <c r="A15" s="4">
        <v>36527</v>
      </c>
      <c r="B15">
        <v>216013</v>
      </c>
      <c r="C15">
        <v>20005</v>
      </c>
      <c r="D15">
        <v>1</v>
      </c>
      <c r="E15">
        <v>50</v>
      </c>
      <c r="F15">
        <v>0.1</v>
      </c>
      <c r="G15">
        <v>45</v>
      </c>
      <c r="H15" s="3" t="s">
        <v>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8E104-25E4-4178-81DB-6D08FCE45142}">
  <dimension ref="A1:L90"/>
  <sheetViews>
    <sheetView tabSelected="1" topLeftCell="D58" zoomScale="70" zoomScaleNormal="70" workbookViewId="0">
      <selection activeCell="I97" sqref="I97"/>
    </sheetView>
  </sheetViews>
  <sheetFormatPr defaultRowHeight="16.5" x14ac:dyDescent="0.3"/>
  <cols>
    <col min="2" max="2" width="18.625" bestFit="1" customWidth="1"/>
    <col min="3" max="4" width="22.75" bestFit="1" customWidth="1"/>
    <col min="5" max="5" width="20.75" bestFit="1" customWidth="1"/>
    <col min="6" max="6" width="18.625" bestFit="1" customWidth="1"/>
    <col min="7" max="8" width="20.75" bestFit="1" customWidth="1"/>
    <col min="9" max="9" width="22.75" bestFit="1" customWidth="1"/>
    <col min="10" max="10" width="18.625" bestFit="1" customWidth="1"/>
    <col min="11" max="11" width="11.25" bestFit="1" customWidth="1"/>
  </cols>
  <sheetData>
    <row r="1" spans="1:11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</row>
    <row r="2" spans="1:11" x14ac:dyDescent="0.3">
      <c r="A2" s="3" t="s">
        <v>22</v>
      </c>
      <c r="B2">
        <v>36527</v>
      </c>
      <c r="C2">
        <v>209001</v>
      </c>
      <c r="D2">
        <v>10018</v>
      </c>
      <c r="E2">
        <v>2</v>
      </c>
      <c r="F2">
        <v>32</v>
      </c>
      <c r="G2">
        <v>0</v>
      </c>
      <c r="H2">
        <v>64</v>
      </c>
      <c r="I2" t="s">
        <v>7</v>
      </c>
      <c r="J2" t="s">
        <v>23</v>
      </c>
      <c r="K2">
        <v>64</v>
      </c>
    </row>
    <row r="3" spans="1:11" x14ac:dyDescent="0.3">
      <c r="A3" s="3" t="s">
        <v>22</v>
      </c>
      <c r="B3">
        <v>36527</v>
      </c>
      <c r="C3">
        <v>209001</v>
      </c>
      <c r="D3">
        <v>10021</v>
      </c>
      <c r="E3">
        <v>3</v>
      </c>
      <c r="F3">
        <v>15</v>
      </c>
      <c r="G3">
        <v>0.1</v>
      </c>
      <c r="H3">
        <v>40.5</v>
      </c>
      <c r="I3" t="s">
        <v>7</v>
      </c>
      <c r="J3" t="s">
        <v>23</v>
      </c>
      <c r="K3">
        <v>45</v>
      </c>
    </row>
    <row r="4" spans="1:11" x14ac:dyDescent="0.3">
      <c r="A4" s="3" t="s">
        <v>22</v>
      </c>
      <c r="B4">
        <v>36527</v>
      </c>
      <c r="C4">
        <v>209001</v>
      </c>
      <c r="D4">
        <v>10017</v>
      </c>
      <c r="E4">
        <v>2</v>
      </c>
      <c r="F4">
        <v>65</v>
      </c>
      <c r="G4">
        <v>0</v>
      </c>
      <c r="H4">
        <v>130</v>
      </c>
      <c r="I4" t="s">
        <v>7</v>
      </c>
      <c r="J4" t="s">
        <v>23</v>
      </c>
      <c r="K4">
        <v>130</v>
      </c>
    </row>
    <row r="5" spans="1:11" x14ac:dyDescent="0.3">
      <c r="A5" s="3" t="s">
        <v>22</v>
      </c>
      <c r="B5">
        <v>36527</v>
      </c>
      <c r="C5">
        <v>209001</v>
      </c>
      <c r="D5">
        <v>20002</v>
      </c>
      <c r="E5">
        <v>5</v>
      </c>
      <c r="F5">
        <v>15</v>
      </c>
      <c r="G5">
        <v>0</v>
      </c>
      <c r="H5">
        <v>75</v>
      </c>
      <c r="I5" t="s">
        <v>7</v>
      </c>
      <c r="J5" t="s">
        <v>23</v>
      </c>
      <c r="K5">
        <v>75</v>
      </c>
    </row>
    <row r="6" spans="1:11" x14ac:dyDescent="0.3">
      <c r="A6" s="3" t="s">
        <v>22</v>
      </c>
      <c r="B6">
        <v>36527</v>
      </c>
      <c r="C6">
        <v>209001</v>
      </c>
      <c r="D6">
        <v>30025</v>
      </c>
      <c r="E6">
        <v>1</v>
      </c>
      <c r="F6">
        <v>25</v>
      </c>
      <c r="G6">
        <v>0</v>
      </c>
      <c r="H6">
        <v>25</v>
      </c>
      <c r="I6" t="s">
        <v>7</v>
      </c>
      <c r="J6" t="s">
        <v>23</v>
      </c>
      <c r="K6">
        <v>25</v>
      </c>
    </row>
    <row r="7" spans="1:11" x14ac:dyDescent="0.3">
      <c r="A7" s="3" t="s">
        <v>22</v>
      </c>
      <c r="B7">
        <v>36527</v>
      </c>
      <c r="C7">
        <v>209001</v>
      </c>
      <c r="D7">
        <v>10011</v>
      </c>
      <c r="E7">
        <v>1</v>
      </c>
      <c r="F7">
        <v>32</v>
      </c>
      <c r="G7">
        <v>0.03</v>
      </c>
      <c r="H7">
        <v>31.04</v>
      </c>
      <c r="I7" t="s">
        <v>7</v>
      </c>
      <c r="J7" t="s">
        <v>23</v>
      </c>
      <c r="K7">
        <v>32</v>
      </c>
    </row>
    <row r="8" spans="1:11" x14ac:dyDescent="0.3">
      <c r="A8" s="3" t="s">
        <v>22</v>
      </c>
      <c r="B8">
        <v>36527</v>
      </c>
      <c r="C8">
        <v>214841</v>
      </c>
      <c r="D8">
        <v>10018</v>
      </c>
      <c r="E8">
        <v>1</v>
      </c>
      <c r="F8">
        <v>32</v>
      </c>
      <c r="G8">
        <v>0</v>
      </c>
      <c r="H8">
        <v>32</v>
      </c>
      <c r="I8" t="s">
        <v>8</v>
      </c>
      <c r="J8" t="s">
        <v>23</v>
      </c>
      <c r="K8">
        <v>32</v>
      </c>
    </row>
    <row r="9" spans="1:11" x14ac:dyDescent="0.3">
      <c r="A9" s="3" t="s">
        <v>22</v>
      </c>
      <c r="B9">
        <v>36527</v>
      </c>
      <c r="C9">
        <v>214841</v>
      </c>
      <c r="D9">
        <v>10019</v>
      </c>
      <c r="E9">
        <v>1</v>
      </c>
      <c r="F9">
        <v>14</v>
      </c>
      <c r="G9">
        <v>0</v>
      </c>
      <c r="H9">
        <v>14</v>
      </c>
      <c r="I9" t="s">
        <v>8</v>
      </c>
      <c r="J9" t="s">
        <v>23</v>
      </c>
      <c r="K9">
        <v>14</v>
      </c>
    </row>
    <row r="10" spans="1:11" x14ac:dyDescent="0.3">
      <c r="A10" s="3" t="s">
        <v>22</v>
      </c>
      <c r="B10">
        <v>36527</v>
      </c>
      <c r="C10">
        <v>214841</v>
      </c>
      <c r="D10">
        <v>10021</v>
      </c>
      <c r="E10">
        <v>1</v>
      </c>
      <c r="F10">
        <v>15</v>
      </c>
      <c r="G10">
        <v>0.1</v>
      </c>
      <c r="H10">
        <v>13.5</v>
      </c>
      <c r="I10" t="s">
        <v>8</v>
      </c>
      <c r="J10" t="s">
        <v>23</v>
      </c>
      <c r="K10">
        <v>15</v>
      </c>
    </row>
    <row r="11" spans="1:11" x14ac:dyDescent="0.3">
      <c r="A11" s="3" t="s">
        <v>22</v>
      </c>
      <c r="B11">
        <v>36527</v>
      </c>
      <c r="C11">
        <v>214841</v>
      </c>
      <c r="D11">
        <v>10018</v>
      </c>
      <c r="E11">
        <v>3</v>
      </c>
      <c r="F11">
        <v>32</v>
      </c>
      <c r="G11">
        <v>0</v>
      </c>
      <c r="H11">
        <v>96</v>
      </c>
      <c r="I11" t="s">
        <v>8</v>
      </c>
      <c r="J11" t="s">
        <v>23</v>
      </c>
      <c r="K11">
        <v>96</v>
      </c>
    </row>
    <row r="12" spans="1:11" x14ac:dyDescent="0.3">
      <c r="A12" s="3" t="s">
        <v>22</v>
      </c>
      <c r="B12">
        <v>36527</v>
      </c>
      <c r="C12">
        <v>214841</v>
      </c>
      <c r="D12">
        <v>30025</v>
      </c>
      <c r="E12">
        <v>2</v>
      </c>
      <c r="F12">
        <v>25</v>
      </c>
      <c r="G12">
        <v>0</v>
      </c>
      <c r="H12">
        <v>50</v>
      </c>
      <c r="I12" t="s">
        <v>8</v>
      </c>
      <c r="J12" t="s">
        <v>23</v>
      </c>
      <c r="K12">
        <v>50</v>
      </c>
    </row>
    <row r="13" spans="1:11" x14ac:dyDescent="0.3">
      <c r="A13" s="3" t="s">
        <v>24</v>
      </c>
      <c r="B13">
        <v>36527</v>
      </c>
      <c r="C13">
        <v>209003</v>
      </c>
      <c r="D13">
        <v>90006</v>
      </c>
      <c r="E13">
        <v>2</v>
      </c>
      <c r="F13">
        <v>12</v>
      </c>
      <c r="G13">
        <v>0</v>
      </c>
      <c r="H13">
        <v>24</v>
      </c>
      <c r="I13" t="s">
        <v>23</v>
      </c>
      <c r="J13" t="s">
        <v>23</v>
      </c>
      <c r="K13">
        <v>24</v>
      </c>
    </row>
    <row r="14" spans="1:11" x14ac:dyDescent="0.3">
      <c r="A14" s="3" t="s">
        <v>24</v>
      </c>
      <c r="B14">
        <v>36527</v>
      </c>
      <c r="C14">
        <v>209003</v>
      </c>
      <c r="D14">
        <v>10017</v>
      </c>
      <c r="E14">
        <v>3</v>
      </c>
      <c r="F14">
        <v>65</v>
      </c>
      <c r="G14">
        <v>0</v>
      </c>
      <c r="H14">
        <v>195</v>
      </c>
      <c r="I14" t="s">
        <v>23</v>
      </c>
      <c r="J14" t="s">
        <v>23</v>
      </c>
      <c r="K14">
        <v>195</v>
      </c>
    </row>
    <row r="15" spans="1:11" x14ac:dyDescent="0.3">
      <c r="A15" s="3" t="s">
        <v>24</v>
      </c>
      <c r="B15">
        <v>36527</v>
      </c>
      <c r="C15">
        <v>209003</v>
      </c>
      <c r="D15">
        <v>90006</v>
      </c>
      <c r="E15">
        <v>2</v>
      </c>
      <c r="F15">
        <v>12</v>
      </c>
      <c r="G15">
        <v>0</v>
      </c>
      <c r="H15">
        <v>24</v>
      </c>
      <c r="I15" t="s">
        <v>23</v>
      </c>
      <c r="J15" t="s">
        <v>23</v>
      </c>
      <c r="K15">
        <v>24</v>
      </c>
    </row>
    <row r="16" spans="1:11" x14ac:dyDescent="0.3">
      <c r="A16" s="3" t="s">
        <v>24</v>
      </c>
      <c r="B16">
        <v>36527</v>
      </c>
      <c r="C16">
        <v>209003</v>
      </c>
      <c r="D16">
        <v>20006</v>
      </c>
      <c r="E16">
        <v>5</v>
      </c>
      <c r="F16">
        <v>110</v>
      </c>
      <c r="G16">
        <v>0</v>
      </c>
      <c r="H16">
        <v>550</v>
      </c>
      <c r="I16" t="s">
        <v>23</v>
      </c>
      <c r="J16" t="s">
        <v>23</v>
      </c>
      <c r="K16">
        <v>550</v>
      </c>
    </row>
    <row r="17" spans="1:11" x14ac:dyDescent="0.3">
      <c r="A17" s="3" t="s">
        <v>24</v>
      </c>
      <c r="B17">
        <v>36527</v>
      </c>
      <c r="C17">
        <v>209003</v>
      </c>
      <c r="D17">
        <v>20024</v>
      </c>
      <c r="E17">
        <v>1</v>
      </c>
      <c r="F17">
        <v>10</v>
      </c>
      <c r="G17">
        <v>0</v>
      </c>
      <c r="H17">
        <v>10</v>
      </c>
      <c r="I17" t="s">
        <v>23</v>
      </c>
      <c r="J17" t="s">
        <v>23</v>
      </c>
      <c r="K17">
        <v>10</v>
      </c>
    </row>
    <row r="18" spans="1:11" x14ac:dyDescent="0.3">
      <c r="A18" s="3" t="s">
        <v>24</v>
      </c>
      <c r="B18">
        <v>36527</v>
      </c>
      <c r="C18">
        <v>209003</v>
      </c>
      <c r="D18">
        <v>10019</v>
      </c>
      <c r="E18">
        <v>1</v>
      </c>
      <c r="F18">
        <v>14</v>
      </c>
      <c r="G18">
        <v>0</v>
      </c>
      <c r="H18">
        <v>14</v>
      </c>
      <c r="I18" t="s">
        <v>23</v>
      </c>
      <c r="J18" t="s">
        <v>23</v>
      </c>
      <c r="K18">
        <v>14</v>
      </c>
    </row>
    <row r="19" spans="1:11" x14ac:dyDescent="0.3">
      <c r="A19" s="3" t="s">
        <v>24</v>
      </c>
      <c r="B19">
        <v>36527</v>
      </c>
      <c r="C19">
        <v>209003</v>
      </c>
      <c r="D19">
        <v>10011</v>
      </c>
      <c r="E19">
        <v>1</v>
      </c>
      <c r="F19">
        <v>32</v>
      </c>
      <c r="G19">
        <v>0.03</v>
      </c>
      <c r="H19">
        <v>31.04</v>
      </c>
      <c r="I19" t="s">
        <v>23</v>
      </c>
      <c r="J19" t="s">
        <v>23</v>
      </c>
      <c r="K19">
        <v>32</v>
      </c>
    </row>
    <row r="20" spans="1:11" x14ac:dyDescent="0.3">
      <c r="A20" s="3" t="s">
        <v>24</v>
      </c>
      <c r="B20">
        <v>36527</v>
      </c>
      <c r="C20">
        <v>209003</v>
      </c>
      <c r="D20">
        <v>20002</v>
      </c>
      <c r="E20">
        <v>1</v>
      </c>
      <c r="F20">
        <v>15</v>
      </c>
      <c r="G20">
        <v>0</v>
      </c>
      <c r="H20">
        <v>15</v>
      </c>
      <c r="I20" t="s">
        <v>23</v>
      </c>
      <c r="J20" t="s">
        <v>23</v>
      </c>
      <c r="K20">
        <v>15</v>
      </c>
    </row>
    <row r="21" spans="1:11" x14ac:dyDescent="0.3">
      <c r="A21" s="3" t="s">
        <v>24</v>
      </c>
      <c r="B21">
        <v>36527</v>
      </c>
      <c r="C21">
        <v>216025</v>
      </c>
      <c r="D21">
        <v>20023</v>
      </c>
      <c r="E21">
        <v>1</v>
      </c>
      <c r="F21">
        <v>10</v>
      </c>
      <c r="G21">
        <v>0</v>
      </c>
      <c r="H21">
        <v>10</v>
      </c>
      <c r="I21" t="s">
        <v>23</v>
      </c>
      <c r="J21" t="s">
        <v>23</v>
      </c>
      <c r="K21">
        <v>10</v>
      </c>
    </row>
    <row r="22" spans="1:11" x14ac:dyDescent="0.3">
      <c r="A22" s="3" t="s">
        <v>24</v>
      </c>
      <c r="B22">
        <v>36527</v>
      </c>
      <c r="C22">
        <v>216025</v>
      </c>
      <c r="D22">
        <v>20005</v>
      </c>
      <c r="E22">
        <v>3</v>
      </c>
      <c r="F22">
        <v>50</v>
      </c>
      <c r="G22">
        <v>0.1</v>
      </c>
      <c r="H22">
        <v>135</v>
      </c>
      <c r="I22" t="s">
        <v>23</v>
      </c>
      <c r="J22" t="s">
        <v>23</v>
      </c>
      <c r="K22">
        <v>150</v>
      </c>
    </row>
    <row r="23" spans="1:11" x14ac:dyDescent="0.3">
      <c r="A23" s="3" t="s">
        <v>24</v>
      </c>
      <c r="B23">
        <v>36527</v>
      </c>
      <c r="C23">
        <v>216025</v>
      </c>
      <c r="D23">
        <v>20009</v>
      </c>
      <c r="E23">
        <v>2</v>
      </c>
      <c r="F23">
        <v>25</v>
      </c>
      <c r="G23">
        <v>0</v>
      </c>
      <c r="H23">
        <v>50</v>
      </c>
      <c r="I23" t="s">
        <v>23</v>
      </c>
      <c r="J23" t="s">
        <v>23</v>
      </c>
      <c r="K23">
        <v>50</v>
      </c>
    </row>
    <row r="24" spans="1:11" x14ac:dyDescent="0.3">
      <c r="A24" s="3" t="s">
        <v>24</v>
      </c>
      <c r="B24">
        <v>36527</v>
      </c>
      <c r="C24">
        <v>216025</v>
      </c>
      <c r="D24">
        <v>20010</v>
      </c>
      <c r="E24">
        <v>1</v>
      </c>
      <c r="F24">
        <v>65</v>
      </c>
      <c r="G24">
        <v>0</v>
      </c>
      <c r="H24">
        <v>65</v>
      </c>
      <c r="I24" t="s">
        <v>23</v>
      </c>
      <c r="J24" t="s">
        <v>23</v>
      </c>
      <c r="K24">
        <v>65</v>
      </c>
    </row>
    <row r="25" spans="1:11" x14ac:dyDescent="0.3">
      <c r="A25" s="3" t="s">
        <v>24</v>
      </c>
      <c r="B25">
        <v>36527</v>
      </c>
      <c r="C25">
        <v>216025</v>
      </c>
      <c r="D25">
        <v>20001</v>
      </c>
      <c r="E25">
        <v>2</v>
      </c>
      <c r="F25">
        <v>10</v>
      </c>
      <c r="G25">
        <v>0.05</v>
      </c>
      <c r="H25">
        <v>19</v>
      </c>
      <c r="I25" t="s">
        <v>23</v>
      </c>
      <c r="J25" t="s">
        <v>23</v>
      </c>
      <c r="K25">
        <v>20</v>
      </c>
    </row>
    <row r="26" spans="1:11" x14ac:dyDescent="0.3">
      <c r="A26" s="3" t="s">
        <v>24</v>
      </c>
      <c r="B26">
        <v>36527</v>
      </c>
      <c r="C26">
        <v>216025</v>
      </c>
      <c r="D26">
        <v>20002</v>
      </c>
      <c r="E26">
        <v>3</v>
      </c>
      <c r="F26">
        <v>15</v>
      </c>
      <c r="G26">
        <v>0</v>
      </c>
      <c r="H26">
        <v>45</v>
      </c>
      <c r="I26" t="s">
        <v>23</v>
      </c>
      <c r="J26" t="s">
        <v>23</v>
      </c>
      <c r="K26">
        <v>45</v>
      </c>
    </row>
    <row r="27" spans="1:11" x14ac:dyDescent="0.3">
      <c r="A27" s="3" t="s">
        <v>24</v>
      </c>
      <c r="B27">
        <v>36527</v>
      </c>
      <c r="C27">
        <v>216025</v>
      </c>
      <c r="D27">
        <v>30025</v>
      </c>
      <c r="E27">
        <v>2</v>
      </c>
      <c r="F27">
        <v>25</v>
      </c>
      <c r="G27">
        <v>0</v>
      </c>
      <c r="H27">
        <v>50</v>
      </c>
      <c r="I27" t="s">
        <v>23</v>
      </c>
      <c r="J27" t="s">
        <v>23</v>
      </c>
      <c r="K27">
        <v>50</v>
      </c>
    </row>
    <row r="28" spans="1:11" x14ac:dyDescent="0.3">
      <c r="A28" s="3" t="s">
        <v>24</v>
      </c>
      <c r="B28">
        <v>36527</v>
      </c>
      <c r="C28">
        <v>216025</v>
      </c>
      <c r="D28">
        <v>20003</v>
      </c>
      <c r="E28">
        <v>1</v>
      </c>
      <c r="F28">
        <v>21</v>
      </c>
      <c r="G28">
        <v>0</v>
      </c>
      <c r="H28">
        <v>21</v>
      </c>
      <c r="I28" t="s">
        <v>23</v>
      </c>
      <c r="J28" t="s">
        <v>23</v>
      </c>
      <c r="K28">
        <v>21</v>
      </c>
    </row>
    <row r="29" spans="1:11" x14ac:dyDescent="0.3">
      <c r="A29" s="3" t="s">
        <v>24</v>
      </c>
      <c r="B29">
        <v>36527</v>
      </c>
      <c r="C29">
        <v>216025</v>
      </c>
      <c r="D29">
        <v>20024</v>
      </c>
      <c r="E29">
        <v>1</v>
      </c>
      <c r="F29">
        <v>10</v>
      </c>
      <c r="G29">
        <v>0</v>
      </c>
      <c r="H29">
        <v>10</v>
      </c>
      <c r="I29" t="s">
        <v>23</v>
      </c>
      <c r="J29" t="s">
        <v>23</v>
      </c>
      <c r="K29">
        <v>10</v>
      </c>
    </row>
    <row r="30" spans="1:11" x14ac:dyDescent="0.3">
      <c r="A30" s="3" t="s">
        <v>24</v>
      </c>
      <c r="B30">
        <v>36527</v>
      </c>
      <c r="C30">
        <v>216025</v>
      </c>
      <c r="D30">
        <v>20001</v>
      </c>
      <c r="E30">
        <v>1</v>
      </c>
      <c r="F30">
        <v>10</v>
      </c>
      <c r="G30">
        <v>0.05</v>
      </c>
      <c r="H30">
        <v>9.5</v>
      </c>
      <c r="I30" t="s">
        <v>23</v>
      </c>
      <c r="J30" t="s">
        <v>23</v>
      </c>
      <c r="K30">
        <v>10</v>
      </c>
    </row>
    <row r="31" spans="1:11" x14ac:dyDescent="0.3">
      <c r="A31" s="3" t="s">
        <v>25</v>
      </c>
      <c r="B31">
        <v>36527</v>
      </c>
      <c r="C31">
        <v>213010</v>
      </c>
      <c r="D31">
        <v>20005</v>
      </c>
      <c r="E31">
        <v>7</v>
      </c>
      <c r="F31">
        <v>50</v>
      </c>
      <c r="G31">
        <v>0.1</v>
      </c>
      <c r="H31">
        <v>315</v>
      </c>
      <c r="I31" t="s">
        <v>7</v>
      </c>
      <c r="J31" t="s">
        <v>23</v>
      </c>
      <c r="K31">
        <v>350</v>
      </c>
    </row>
    <row r="32" spans="1:11" x14ac:dyDescent="0.3">
      <c r="A32" s="3" t="s">
        <v>25</v>
      </c>
      <c r="B32">
        <v>36527</v>
      </c>
      <c r="C32">
        <v>213010</v>
      </c>
      <c r="D32">
        <v>32006</v>
      </c>
      <c r="E32">
        <v>3</v>
      </c>
      <c r="F32">
        <v>105</v>
      </c>
      <c r="G32">
        <v>0</v>
      </c>
      <c r="H32">
        <v>315</v>
      </c>
      <c r="I32" t="s">
        <v>7</v>
      </c>
      <c r="J32" t="s">
        <v>23</v>
      </c>
      <c r="K32">
        <v>315</v>
      </c>
    </row>
    <row r="33" spans="1:11" x14ac:dyDescent="0.3">
      <c r="A33" s="3" t="s">
        <v>25</v>
      </c>
      <c r="B33">
        <v>36527</v>
      </c>
      <c r="C33">
        <v>213010</v>
      </c>
      <c r="D33">
        <v>32007</v>
      </c>
      <c r="E33">
        <v>2</v>
      </c>
      <c r="F33">
        <v>5</v>
      </c>
      <c r="G33">
        <v>0</v>
      </c>
      <c r="H33">
        <v>10</v>
      </c>
      <c r="I33" t="s">
        <v>7</v>
      </c>
      <c r="J33" t="s">
        <v>23</v>
      </c>
      <c r="K33">
        <v>10</v>
      </c>
    </row>
    <row r="34" spans="1:11" x14ac:dyDescent="0.3">
      <c r="A34" s="3" t="s">
        <v>25</v>
      </c>
      <c r="B34">
        <v>36527</v>
      </c>
      <c r="C34">
        <v>213010</v>
      </c>
      <c r="D34">
        <v>20006</v>
      </c>
      <c r="E34">
        <v>3</v>
      </c>
      <c r="F34">
        <v>110</v>
      </c>
      <c r="G34">
        <v>0</v>
      </c>
      <c r="H34">
        <v>330</v>
      </c>
      <c r="I34" t="s">
        <v>7</v>
      </c>
      <c r="J34" t="s">
        <v>23</v>
      </c>
      <c r="K34">
        <v>330</v>
      </c>
    </row>
    <row r="35" spans="1:11" x14ac:dyDescent="0.3">
      <c r="A35" s="3" t="s">
        <v>25</v>
      </c>
      <c r="B35">
        <v>36527</v>
      </c>
      <c r="C35">
        <v>213010</v>
      </c>
      <c r="D35">
        <v>20024</v>
      </c>
      <c r="E35">
        <v>3</v>
      </c>
      <c r="F35">
        <v>10</v>
      </c>
      <c r="G35">
        <v>0</v>
      </c>
      <c r="H35">
        <v>30</v>
      </c>
      <c r="I35" t="s">
        <v>7</v>
      </c>
      <c r="J35" t="s">
        <v>23</v>
      </c>
      <c r="K35">
        <v>30</v>
      </c>
    </row>
    <row r="36" spans="1:11" x14ac:dyDescent="0.3">
      <c r="A36" s="3" t="s">
        <v>25</v>
      </c>
      <c r="B36">
        <v>36527</v>
      </c>
      <c r="C36">
        <v>213010</v>
      </c>
      <c r="D36">
        <v>10019</v>
      </c>
      <c r="E36">
        <v>3</v>
      </c>
      <c r="F36">
        <v>14</v>
      </c>
      <c r="G36">
        <v>0</v>
      </c>
      <c r="H36">
        <v>42</v>
      </c>
      <c r="I36" t="s">
        <v>7</v>
      </c>
      <c r="J36" t="s">
        <v>23</v>
      </c>
      <c r="K36">
        <v>42</v>
      </c>
    </row>
    <row r="37" spans="1:11" x14ac:dyDescent="0.3">
      <c r="A37" s="3" t="s">
        <v>25</v>
      </c>
      <c r="B37">
        <v>36527</v>
      </c>
      <c r="C37">
        <v>213010</v>
      </c>
      <c r="D37">
        <v>32006</v>
      </c>
      <c r="E37">
        <v>1</v>
      </c>
      <c r="F37">
        <v>105</v>
      </c>
      <c r="G37">
        <v>0</v>
      </c>
      <c r="H37">
        <v>105</v>
      </c>
      <c r="I37" t="s">
        <v>7</v>
      </c>
      <c r="J37" t="s">
        <v>23</v>
      </c>
      <c r="K37">
        <v>105</v>
      </c>
    </row>
    <row r="38" spans="1:11" x14ac:dyDescent="0.3">
      <c r="A38" s="3" t="s">
        <v>25</v>
      </c>
      <c r="B38">
        <v>36527</v>
      </c>
      <c r="C38">
        <v>213010</v>
      </c>
      <c r="D38">
        <v>32020</v>
      </c>
      <c r="E38">
        <v>1</v>
      </c>
      <c r="F38">
        <v>16</v>
      </c>
      <c r="G38">
        <v>0</v>
      </c>
      <c r="H38">
        <v>16</v>
      </c>
      <c r="I38" t="s">
        <v>8</v>
      </c>
      <c r="J38" t="s">
        <v>23</v>
      </c>
      <c r="K38">
        <v>16</v>
      </c>
    </row>
    <row r="39" spans="1:11" x14ac:dyDescent="0.3">
      <c r="A39" s="3" t="s">
        <v>25</v>
      </c>
      <c r="B39">
        <v>36527</v>
      </c>
      <c r="C39">
        <v>213010</v>
      </c>
      <c r="D39">
        <v>10011</v>
      </c>
      <c r="E39">
        <v>1</v>
      </c>
      <c r="F39">
        <v>32</v>
      </c>
      <c r="G39">
        <v>0.03</v>
      </c>
      <c r="H39">
        <v>31.04</v>
      </c>
      <c r="I39" t="s">
        <v>8</v>
      </c>
      <c r="J39" t="s">
        <v>23</v>
      </c>
      <c r="K39">
        <v>32</v>
      </c>
    </row>
    <row r="40" spans="1:11" x14ac:dyDescent="0.3">
      <c r="A40" s="3" t="s">
        <v>25</v>
      </c>
      <c r="B40">
        <v>36527</v>
      </c>
      <c r="C40">
        <v>213010</v>
      </c>
      <c r="D40">
        <v>90006</v>
      </c>
      <c r="E40">
        <v>3</v>
      </c>
      <c r="F40">
        <v>12</v>
      </c>
      <c r="G40">
        <v>0</v>
      </c>
      <c r="H40">
        <v>36</v>
      </c>
      <c r="I40" t="s">
        <v>8</v>
      </c>
      <c r="J40" t="s">
        <v>23</v>
      </c>
      <c r="K40">
        <v>36</v>
      </c>
    </row>
    <row r="41" spans="1:11" x14ac:dyDescent="0.3">
      <c r="A41" s="3" t="s">
        <v>25</v>
      </c>
      <c r="B41">
        <v>36527</v>
      </c>
      <c r="C41">
        <v>213010</v>
      </c>
      <c r="D41">
        <v>32008</v>
      </c>
      <c r="E41">
        <v>2</v>
      </c>
      <c r="F41">
        <v>33</v>
      </c>
      <c r="G41">
        <v>0</v>
      </c>
      <c r="H41">
        <v>66</v>
      </c>
      <c r="I41" t="s">
        <v>8</v>
      </c>
      <c r="J41" t="s">
        <v>23</v>
      </c>
      <c r="K41">
        <v>66</v>
      </c>
    </row>
    <row r="42" spans="1:11" x14ac:dyDescent="0.3">
      <c r="A42" s="3" t="s">
        <v>25</v>
      </c>
      <c r="B42">
        <v>36527</v>
      </c>
      <c r="C42">
        <v>216026</v>
      </c>
      <c r="D42">
        <v>20010</v>
      </c>
      <c r="E42">
        <v>1</v>
      </c>
      <c r="F42">
        <v>65</v>
      </c>
      <c r="G42">
        <v>0</v>
      </c>
      <c r="H42">
        <v>65</v>
      </c>
      <c r="I42" t="s">
        <v>8</v>
      </c>
      <c r="J42" t="s">
        <v>23</v>
      </c>
      <c r="K42">
        <v>65</v>
      </c>
    </row>
    <row r="43" spans="1:11" x14ac:dyDescent="0.3">
      <c r="A43" s="3" t="s">
        <v>25</v>
      </c>
      <c r="B43">
        <v>36527</v>
      </c>
      <c r="C43">
        <v>216026</v>
      </c>
      <c r="D43">
        <v>20001</v>
      </c>
      <c r="E43">
        <v>5</v>
      </c>
      <c r="F43">
        <v>10</v>
      </c>
      <c r="G43">
        <v>0.05</v>
      </c>
      <c r="H43">
        <v>47.5</v>
      </c>
      <c r="I43" t="s">
        <v>8</v>
      </c>
      <c r="J43" t="s">
        <v>23</v>
      </c>
      <c r="K43">
        <v>50</v>
      </c>
    </row>
    <row r="44" spans="1:11" x14ac:dyDescent="0.3">
      <c r="A44" s="3" t="s">
        <v>25</v>
      </c>
      <c r="B44">
        <v>36527</v>
      </c>
      <c r="C44">
        <v>216026</v>
      </c>
      <c r="D44">
        <v>20002</v>
      </c>
      <c r="E44">
        <v>3</v>
      </c>
      <c r="F44">
        <v>15</v>
      </c>
      <c r="G44">
        <v>0</v>
      </c>
      <c r="H44">
        <v>45</v>
      </c>
      <c r="I44" t="s">
        <v>8</v>
      </c>
      <c r="J44" t="s">
        <v>23</v>
      </c>
      <c r="K44">
        <v>45</v>
      </c>
    </row>
    <row r="45" spans="1:11" x14ac:dyDescent="0.3">
      <c r="A45" s="3" t="s">
        <v>25</v>
      </c>
      <c r="B45">
        <v>36527</v>
      </c>
      <c r="C45">
        <v>216026</v>
      </c>
      <c r="D45">
        <v>30025</v>
      </c>
      <c r="E45">
        <v>2</v>
      </c>
      <c r="F45">
        <v>25</v>
      </c>
      <c r="G45">
        <v>0</v>
      </c>
      <c r="H45">
        <v>50</v>
      </c>
      <c r="I45" t="s">
        <v>8</v>
      </c>
      <c r="J45" t="s">
        <v>23</v>
      </c>
      <c r="K45">
        <v>50</v>
      </c>
    </row>
    <row r="46" spans="1:11" x14ac:dyDescent="0.3">
      <c r="A46" s="3" t="s">
        <v>25</v>
      </c>
      <c r="B46">
        <v>36527</v>
      </c>
      <c r="C46">
        <v>216025</v>
      </c>
      <c r="D46">
        <v>20003</v>
      </c>
      <c r="E46">
        <v>1</v>
      </c>
      <c r="F46">
        <v>21</v>
      </c>
      <c r="G46">
        <v>0</v>
      </c>
      <c r="H46">
        <v>21</v>
      </c>
      <c r="I46" t="s">
        <v>8</v>
      </c>
      <c r="J46" t="s">
        <v>23</v>
      </c>
      <c r="K46">
        <v>21</v>
      </c>
    </row>
    <row r="47" spans="1:11" x14ac:dyDescent="0.3">
      <c r="A47" s="3" t="s">
        <v>25</v>
      </c>
      <c r="B47">
        <v>36527</v>
      </c>
      <c r="C47">
        <v>216025</v>
      </c>
      <c r="D47">
        <v>20024</v>
      </c>
      <c r="E47">
        <v>12</v>
      </c>
      <c r="F47">
        <v>10</v>
      </c>
      <c r="G47">
        <v>0</v>
      </c>
      <c r="H47">
        <v>120</v>
      </c>
      <c r="I47" t="s">
        <v>8</v>
      </c>
      <c r="J47" t="s">
        <v>23</v>
      </c>
      <c r="K47">
        <v>120</v>
      </c>
    </row>
    <row r="48" spans="1:11" x14ac:dyDescent="0.3">
      <c r="A48" s="3" t="s">
        <v>25</v>
      </c>
      <c r="B48">
        <v>36527</v>
      </c>
      <c r="C48">
        <v>216025</v>
      </c>
      <c r="D48">
        <v>20005</v>
      </c>
      <c r="E48">
        <v>5</v>
      </c>
      <c r="F48">
        <v>50</v>
      </c>
      <c r="G48">
        <v>0.1</v>
      </c>
      <c r="H48">
        <v>225</v>
      </c>
      <c r="I48" t="s">
        <v>8</v>
      </c>
      <c r="J48" t="s">
        <v>23</v>
      </c>
      <c r="K48">
        <v>250</v>
      </c>
    </row>
    <row r="49" spans="1:11" x14ac:dyDescent="0.3">
      <c r="A49" s="3" t="s">
        <v>26</v>
      </c>
      <c r="B49">
        <v>36527</v>
      </c>
      <c r="C49">
        <v>21245</v>
      </c>
      <c r="D49">
        <v>90006</v>
      </c>
      <c r="E49">
        <v>1</v>
      </c>
      <c r="F49">
        <v>12</v>
      </c>
      <c r="G49">
        <v>0</v>
      </c>
      <c r="H49">
        <v>12</v>
      </c>
      <c r="I49" t="s">
        <v>23</v>
      </c>
      <c r="J49" t="s">
        <v>23</v>
      </c>
      <c r="K49">
        <v>12</v>
      </c>
    </row>
    <row r="50" spans="1:11" x14ac:dyDescent="0.3">
      <c r="A50" s="3" t="s">
        <v>26</v>
      </c>
      <c r="B50">
        <v>36527</v>
      </c>
      <c r="C50">
        <v>21245</v>
      </c>
      <c r="D50">
        <v>20010</v>
      </c>
      <c r="E50">
        <v>5</v>
      </c>
      <c r="F50">
        <v>65</v>
      </c>
      <c r="G50">
        <v>0</v>
      </c>
      <c r="H50">
        <v>325</v>
      </c>
      <c r="I50" t="s">
        <v>23</v>
      </c>
      <c r="J50" t="s">
        <v>23</v>
      </c>
      <c r="K50">
        <v>325</v>
      </c>
    </row>
    <row r="51" spans="1:11" x14ac:dyDescent="0.3">
      <c r="A51" s="3" t="s">
        <v>26</v>
      </c>
      <c r="B51">
        <v>36527</v>
      </c>
      <c r="C51">
        <v>21245</v>
      </c>
      <c r="D51">
        <v>32008</v>
      </c>
      <c r="E51">
        <v>10</v>
      </c>
      <c r="F51">
        <v>33</v>
      </c>
      <c r="G51">
        <v>0</v>
      </c>
      <c r="H51">
        <v>330</v>
      </c>
      <c r="I51" t="s">
        <v>23</v>
      </c>
      <c r="J51" t="s">
        <v>23</v>
      </c>
      <c r="K51">
        <v>330</v>
      </c>
    </row>
    <row r="52" spans="1:11" x14ac:dyDescent="0.3">
      <c r="A52" s="3" t="s">
        <v>26</v>
      </c>
      <c r="B52">
        <v>36527</v>
      </c>
      <c r="C52">
        <v>21245</v>
      </c>
      <c r="D52">
        <v>10011</v>
      </c>
      <c r="E52">
        <v>6</v>
      </c>
      <c r="F52">
        <v>32</v>
      </c>
      <c r="G52">
        <v>0.03</v>
      </c>
      <c r="H52">
        <v>186.24</v>
      </c>
      <c r="I52" t="s">
        <v>23</v>
      </c>
      <c r="J52" t="s">
        <v>23</v>
      </c>
      <c r="K52">
        <v>192</v>
      </c>
    </row>
    <row r="53" spans="1:11" x14ac:dyDescent="0.3">
      <c r="A53" s="3" t="s">
        <v>26</v>
      </c>
      <c r="B53">
        <v>36527</v>
      </c>
      <c r="C53">
        <v>21245</v>
      </c>
      <c r="D53">
        <v>20001</v>
      </c>
      <c r="E53">
        <v>3</v>
      </c>
      <c r="F53">
        <v>10</v>
      </c>
      <c r="G53">
        <v>0.05</v>
      </c>
      <c r="H53">
        <v>28.5</v>
      </c>
      <c r="I53" t="s">
        <v>23</v>
      </c>
      <c r="J53" t="s">
        <v>23</v>
      </c>
      <c r="K53">
        <v>30</v>
      </c>
    </row>
    <row r="54" spans="1:11" x14ac:dyDescent="0.3">
      <c r="A54" s="3" t="s">
        <v>26</v>
      </c>
      <c r="B54">
        <v>36527</v>
      </c>
      <c r="C54">
        <v>209003</v>
      </c>
      <c r="D54">
        <v>10019</v>
      </c>
      <c r="E54">
        <v>3</v>
      </c>
      <c r="F54">
        <v>14</v>
      </c>
      <c r="G54">
        <v>0</v>
      </c>
      <c r="H54">
        <v>42</v>
      </c>
      <c r="I54" t="s">
        <v>23</v>
      </c>
      <c r="J54" t="s">
        <v>23</v>
      </c>
      <c r="K54">
        <v>42</v>
      </c>
    </row>
    <row r="55" spans="1:11" x14ac:dyDescent="0.3">
      <c r="A55" s="3" t="s">
        <v>26</v>
      </c>
      <c r="B55">
        <v>36527</v>
      </c>
      <c r="C55">
        <v>209003</v>
      </c>
      <c r="D55">
        <v>90006</v>
      </c>
      <c r="E55">
        <v>4</v>
      </c>
      <c r="F55">
        <v>12</v>
      </c>
      <c r="G55">
        <v>0</v>
      </c>
      <c r="H55">
        <v>48</v>
      </c>
      <c r="I55" t="s">
        <v>23</v>
      </c>
      <c r="J55" t="s">
        <v>23</v>
      </c>
      <c r="K55">
        <v>48</v>
      </c>
    </row>
    <row r="56" spans="1:11" x14ac:dyDescent="0.3">
      <c r="A56" s="3" t="s">
        <v>26</v>
      </c>
      <c r="B56">
        <v>36527</v>
      </c>
      <c r="C56">
        <v>209003</v>
      </c>
      <c r="D56">
        <v>10021</v>
      </c>
      <c r="E56">
        <v>17</v>
      </c>
      <c r="F56">
        <v>15</v>
      </c>
      <c r="G56">
        <v>0.1</v>
      </c>
      <c r="H56">
        <v>229.5</v>
      </c>
      <c r="I56" t="s">
        <v>23</v>
      </c>
      <c r="J56" t="s">
        <v>23</v>
      </c>
      <c r="K56">
        <v>255</v>
      </c>
    </row>
    <row r="57" spans="1:11" x14ac:dyDescent="0.3">
      <c r="A57" s="3" t="s">
        <v>26</v>
      </c>
      <c r="B57">
        <v>36527</v>
      </c>
      <c r="C57">
        <v>209003</v>
      </c>
      <c r="D57">
        <v>20009</v>
      </c>
      <c r="E57">
        <v>3</v>
      </c>
      <c r="F57">
        <v>25</v>
      </c>
      <c r="G57">
        <v>0</v>
      </c>
      <c r="H57">
        <v>75</v>
      </c>
      <c r="I57" t="s">
        <v>23</v>
      </c>
      <c r="J57" t="s">
        <v>23</v>
      </c>
      <c r="K57">
        <v>75</v>
      </c>
    </row>
    <row r="58" spans="1:11" x14ac:dyDescent="0.3">
      <c r="A58" s="3" t="s">
        <v>26</v>
      </c>
      <c r="B58">
        <v>36527</v>
      </c>
      <c r="C58">
        <v>209003</v>
      </c>
      <c r="D58">
        <v>20002</v>
      </c>
      <c r="E58">
        <v>4</v>
      </c>
      <c r="F58">
        <v>15</v>
      </c>
      <c r="G58">
        <v>0</v>
      </c>
      <c r="H58">
        <v>60</v>
      </c>
      <c r="I58" t="s">
        <v>23</v>
      </c>
      <c r="J58" t="s">
        <v>23</v>
      </c>
      <c r="K58">
        <v>60</v>
      </c>
    </row>
    <row r="59" spans="1:11" x14ac:dyDescent="0.3">
      <c r="A59" s="3" t="s">
        <v>26</v>
      </c>
      <c r="B59">
        <v>36527</v>
      </c>
      <c r="C59">
        <v>216010</v>
      </c>
      <c r="D59">
        <v>10011</v>
      </c>
      <c r="E59">
        <v>2</v>
      </c>
      <c r="F59">
        <v>32</v>
      </c>
      <c r="G59">
        <v>0.03</v>
      </c>
      <c r="H59">
        <v>62.08</v>
      </c>
      <c r="I59" t="s">
        <v>23</v>
      </c>
      <c r="J59" t="s">
        <v>23</v>
      </c>
      <c r="K59">
        <v>64</v>
      </c>
    </row>
    <row r="60" spans="1:11" x14ac:dyDescent="0.3">
      <c r="A60" s="3" t="s">
        <v>26</v>
      </c>
      <c r="B60">
        <v>36527</v>
      </c>
      <c r="C60">
        <v>216010</v>
      </c>
      <c r="D60">
        <v>10019</v>
      </c>
      <c r="E60">
        <v>6</v>
      </c>
      <c r="F60">
        <v>14</v>
      </c>
      <c r="G60">
        <v>0</v>
      </c>
      <c r="H60">
        <v>84</v>
      </c>
      <c r="I60" t="s">
        <v>23</v>
      </c>
      <c r="J60" t="s">
        <v>23</v>
      </c>
      <c r="K60">
        <v>84</v>
      </c>
    </row>
    <row r="61" spans="1:11" x14ac:dyDescent="0.3">
      <c r="A61" s="3" t="s">
        <v>26</v>
      </c>
      <c r="B61">
        <v>36527</v>
      </c>
      <c r="C61">
        <v>216010</v>
      </c>
      <c r="D61">
        <v>20001</v>
      </c>
      <c r="E61">
        <v>1</v>
      </c>
      <c r="F61">
        <v>10</v>
      </c>
      <c r="G61">
        <v>0.05</v>
      </c>
      <c r="H61">
        <v>9.5</v>
      </c>
      <c r="I61" t="s">
        <v>23</v>
      </c>
      <c r="J61" t="s">
        <v>23</v>
      </c>
      <c r="K61">
        <v>10</v>
      </c>
    </row>
    <row r="62" spans="1:11" x14ac:dyDescent="0.3">
      <c r="A62" s="3" t="s">
        <v>26</v>
      </c>
      <c r="B62">
        <v>36527</v>
      </c>
      <c r="C62">
        <v>216010</v>
      </c>
      <c r="D62">
        <v>32020</v>
      </c>
      <c r="E62">
        <v>1</v>
      </c>
      <c r="F62">
        <v>16</v>
      </c>
      <c r="G62">
        <v>0</v>
      </c>
      <c r="H62">
        <v>16</v>
      </c>
      <c r="I62" t="s">
        <v>23</v>
      </c>
      <c r="J62" t="s">
        <v>23</v>
      </c>
      <c r="K62">
        <v>16</v>
      </c>
    </row>
    <row r="63" spans="1:11" x14ac:dyDescent="0.3">
      <c r="A63" s="3" t="s">
        <v>26</v>
      </c>
      <c r="B63">
        <v>36527</v>
      </c>
      <c r="C63">
        <v>217031</v>
      </c>
      <c r="D63">
        <v>30025</v>
      </c>
      <c r="E63">
        <v>3</v>
      </c>
      <c r="F63">
        <v>25</v>
      </c>
      <c r="G63">
        <v>0</v>
      </c>
      <c r="H63">
        <v>75</v>
      </c>
      <c r="I63" t="s">
        <v>23</v>
      </c>
      <c r="J63" t="s">
        <v>23</v>
      </c>
      <c r="K63">
        <v>75</v>
      </c>
    </row>
    <row r="64" spans="1:11" x14ac:dyDescent="0.3">
      <c r="A64" s="3" t="s">
        <v>26</v>
      </c>
      <c r="B64">
        <v>36527</v>
      </c>
      <c r="C64">
        <v>217031</v>
      </c>
      <c r="D64">
        <v>90006</v>
      </c>
      <c r="E64">
        <v>1</v>
      </c>
      <c r="F64">
        <v>12</v>
      </c>
      <c r="G64">
        <v>0</v>
      </c>
      <c r="H64">
        <v>12</v>
      </c>
      <c r="I64" t="s">
        <v>23</v>
      </c>
      <c r="J64" t="s">
        <v>23</v>
      </c>
      <c r="K64">
        <v>12</v>
      </c>
    </row>
    <row r="65" spans="1:11" x14ac:dyDescent="0.3">
      <c r="A65" s="3" t="s">
        <v>26</v>
      </c>
      <c r="B65">
        <v>36527</v>
      </c>
      <c r="C65">
        <v>217031</v>
      </c>
      <c r="D65">
        <v>20024</v>
      </c>
      <c r="E65">
        <v>3</v>
      </c>
      <c r="F65">
        <v>10</v>
      </c>
      <c r="G65">
        <v>0</v>
      </c>
      <c r="H65">
        <v>30</v>
      </c>
      <c r="I65" t="s">
        <v>23</v>
      </c>
      <c r="J65" t="s">
        <v>23</v>
      </c>
      <c r="K65">
        <v>30</v>
      </c>
    </row>
    <row r="66" spans="1:11" x14ac:dyDescent="0.3">
      <c r="A66" s="3" t="s">
        <v>26</v>
      </c>
      <c r="B66">
        <v>36527</v>
      </c>
      <c r="C66">
        <v>217031</v>
      </c>
      <c r="D66">
        <v>20003</v>
      </c>
      <c r="E66">
        <v>1</v>
      </c>
      <c r="F66">
        <v>21</v>
      </c>
      <c r="G66">
        <v>0</v>
      </c>
      <c r="H66">
        <v>21</v>
      </c>
      <c r="I66" t="s">
        <v>23</v>
      </c>
      <c r="J66" t="s">
        <v>23</v>
      </c>
      <c r="K66">
        <v>21</v>
      </c>
    </row>
    <row r="67" spans="1:11" x14ac:dyDescent="0.3">
      <c r="A67" s="3" t="s">
        <v>27</v>
      </c>
      <c r="B67">
        <v>36527</v>
      </c>
      <c r="C67">
        <v>209012</v>
      </c>
      <c r="D67">
        <v>20003</v>
      </c>
      <c r="E67">
        <v>3</v>
      </c>
      <c r="F67">
        <v>21</v>
      </c>
      <c r="G67">
        <v>0</v>
      </c>
      <c r="H67">
        <v>63</v>
      </c>
      <c r="I67" t="s">
        <v>8</v>
      </c>
      <c r="J67" t="s">
        <v>23</v>
      </c>
      <c r="K67">
        <v>63</v>
      </c>
    </row>
    <row r="68" spans="1:11" x14ac:dyDescent="0.3">
      <c r="A68" s="3" t="s">
        <v>27</v>
      </c>
      <c r="B68">
        <v>36527</v>
      </c>
      <c r="C68">
        <v>209012</v>
      </c>
      <c r="D68">
        <v>10011</v>
      </c>
      <c r="E68">
        <v>7</v>
      </c>
      <c r="F68">
        <v>32</v>
      </c>
      <c r="G68">
        <v>0.03</v>
      </c>
      <c r="H68">
        <v>217.28</v>
      </c>
      <c r="I68" t="s">
        <v>8</v>
      </c>
      <c r="J68" t="s">
        <v>23</v>
      </c>
      <c r="K68">
        <v>224</v>
      </c>
    </row>
    <row r="69" spans="1:11" x14ac:dyDescent="0.3">
      <c r="A69" s="3" t="s">
        <v>27</v>
      </c>
      <c r="B69">
        <v>36527</v>
      </c>
      <c r="C69">
        <v>216623</v>
      </c>
      <c r="D69">
        <v>20002</v>
      </c>
      <c r="E69">
        <v>1</v>
      </c>
      <c r="F69">
        <v>15</v>
      </c>
      <c r="G69">
        <v>0</v>
      </c>
      <c r="H69">
        <v>15</v>
      </c>
      <c r="I69" t="s">
        <v>7</v>
      </c>
      <c r="J69" t="s">
        <v>23</v>
      </c>
      <c r="K69">
        <v>15</v>
      </c>
    </row>
    <row r="70" spans="1:11" x14ac:dyDescent="0.3">
      <c r="A70" s="3" t="s">
        <v>27</v>
      </c>
      <c r="B70">
        <v>36527</v>
      </c>
      <c r="C70">
        <v>216623</v>
      </c>
      <c r="D70">
        <v>20006</v>
      </c>
      <c r="E70">
        <v>8</v>
      </c>
      <c r="F70">
        <v>110</v>
      </c>
      <c r="G70">
        <v>0</v>
      </c>
      <c r="H70">
        <v>880</v>
      </c>
      <c r="I70" t="s">
        <v>7</v>
      </c>
      <c r="J70" t="s">
        <v>23</v>
      </c>
      <c r="K70">
        <v>880</v>
      </c>
    </row>
    <row r="71" spans="1:11" x14ac:dyDescent="0.3">
      <c r="A71" s="3" t="s">
        <v>27</v>
      </c>
      <c r="B71">
        <v>36527</v>
      </c>
      <c r="C71">
        <v>216623</v>
      </c>
      <c r="D71">
        <v>32013</v>
      </c>
      <c r="E71">
        <v>9</v>
      </c>
      <c r="F71">
        <v>53</v>
      </c>
      <c r="G71">
        <v>0</v>
      </c>
      <c r="H71">
        <v>477</v>
      </c>
      <c r="I71" t="s">
        <v>7</v>
      </c>
      <c r="J71" t="s">
        <v>23</v>
      </c>
      <c r="K71">
        <v>477</v>
      </c>
    </row>
    <row r="72" spans="1:11" x14ac:dyDescent="0.3">
      <c r="A72" s="3" t="s">
        <v>27</v>
      </c>
      <c r="B72">
        <v>36527</v>
      </c>
      <c r="C72">
        <v>210002</v>
      </c>
      <c r="D72">
        <v>10019</v>
      </c>
      <c r="E72">
        <v>2</v>
      </c>
      <c r="F72">
        <v>14</v>
      </c>
      <c r="G72">
        <v>0</v>
      </c>
      <c r="H72">
        <v>28</v>
      </c>
      <c r="I72" t="s">
        <v>7</v>
      </c>
      <c r="J72" t="s">
        <v>23</v>
      </c>
      <c r="K72">
        <v>28</v>
      </c>
    </row>
    <row r="73" spans="1:11" x14ac:dyDescent="0.3">
      <c r="A73" s="3" t="s">
        <v>27</v>
      </c>
      <c r="B73">
        <v>36527</v>
      </c>
      <c r="C73">
        <v>210002</v>
      </c>
      <c r="D73">
        <v>32013</v>
      </c>
      <c r="E73">
        <v>1</v>
      </c>
      <c r="F73">
        <v>53</v>
      </c>
      <c r="G73">
        <v>0</v>
      </c>
      <c r="H73">
        <v>53</v>
      </c>
      <c r="I73" t="s">
        <v>7</v>
      </c>
      <c r="J73" t="s">
        <v>23</v>
      </c>
      <c r="K73">
        <v>53</v>
      </c>
    </row>
    <row r="74" spans="1:11" x14ac:dyDescent="0.3">
      <c r="A74" s="3" t="s">
        <v>27</v>
      </c>
      <c r="B74">
        <v>36527</v>
      </c>
      <c r="C74">
        <v>210002</v>
      </c>
      <c r="D74">
        <v>32020</v>
      </c>
      <c r="E74">
        <v>5</v>
      </c>
      <c r="F74">
        <v>16</v>
      </c>
      <c r="G74">
        <v>0</v>
      </c>
      <c r="H74">
        <v>80</v>
      </c>
      <c r="I74" t="s">
        <v>8</v>
      </c>
      <c r="J74" t="s">
        <v>23</v>
      </c>
      <c r="K74">
        <v>80</v>
      </c>
    </row>
    <row r="75" spans="1:11" x14ac:dyDescent="0.3">
      <c r="A75" s="3" t="s">
        <v>27</v>
      </c>
      <c r="B75">
        <v>36527</v>
      </c>
      <c r="C75">
        <v>210002</v>
      </c>
      <c r="D75">
        <v>10017</v>
      </c>
      <c r="E75">
        <v>1</v>
      </c>
      <c r="F75">
        <v>65</v>
      </c>
      <c r="G75">
        <v>0</v>
      </c>
      <c r="H75">
        <v>65</v>
      </c>
      <c r="I75" t="s">
        <v>8</v>
      </c>
      <c r="J75" t="s">
        <v>23</v>
      </c>
      <c r="K75">
        <v>65</v>
      </c>
    </row>
    <row r="76" spans="1:11" x14ac:dyDescent="0.3">
      <c r="A76" s="3" t="s">
        <v>27</v>
      </c>
      <c r="B76">
        <v>36527</v>
      </c>
      <c r="C76">
        <v>210030</v>
      </c>
      <c r="D76">
        <v>20005</v>
      </c>
      <c r="E76">
        <v>3</v>
      </c>
      <c r="F76">
        <v>50</v>
      </c>
      <c r="G76">
        <v>0.1</v>
      </c>
      <c r="H76">
        <v>135</v>
      </c>
      <c r="I76" t="s">
        <v>8</v>
      </c>
      <c r="J76" t="s">
        <v>23</v>
      </c>
      <c r="K76">
        <v>150</v>
      </c>
    </row>
    <row r="77" spans="1:11" x14ac:dyDescent="0.3">
      <c r="A77" s="3" t="s">
        <v>27</v>
      </c>
      <c r="B77">
        <v>36527</v>
      </c>
      <c r="C77">
        <v>210030</v>
      </c>
      <c r="D77">
        <v>32008</v>
      </c>
      <c r="E77">
        <v>1</v>
      </c>
      <c r="F77">
        <v>33</v>
      </c>
      <c r="G77">
        <v>0</v>
      </c>
      <c r="H77">
        <v>33</v>
      </c>
      <c r="I77" t="s">
        <v>8</v>
      </c>
      <c r="J77" t="s">
        <v>23</v>
      </c>
      <c r="K77">
        <v>33</v>
      </c>
    </row>
    <row r="78" spans="1:11" x14ac:dyDescent="0.3">
      <c r="A78" s="3" t="s">
        <v>27</v>
      </c>
      <c r="B78">
        <v>36527</v>
      </c>
      <c r="C78">
        <v>210030</v>
      </c>
      <c r="D78">
        <v>20010</v>
      </c>
      <c r="E78">
        <v>1</v>
      </c>
      <c r="F78">
        <v>65</v>
      </c>
      <c r="G78">
        <v>0</v>
      </c>
      <c r="H78">
        <v>65</v>
      </c>
      <c r="I78" t="s">
        <v>8</v>
      </c>
      <c r="J78" t="s">
        <v>23</v>
      </c>
      <c r="K78">
        <v>65</v>
      </c>
    </row>
    <row r="79" spans="1:11" x14ac:dyDescent="0.3">
      <c r="A79" s="3" t="s">
        <v>27</v>
      </c>
      <c r="B79">
        <v>36527</v>
      </c>
      <c r="C79">
        <v>216013</v>
      </c>
      <c r="D79">
        <v>32007</v>
      </c>
      <c r="E79">
        <v>5</v>
      </c>
      <c r="F79">
        <v>5</v>
      </c>
      <c r="G79">
        <v>0</v>
      </c>
      <c r="H79">
        <v>25</v>
      </c>
      <c r="I79" t="s">
        <v>8</v>
      </c>
      <c r="J79" t="s">
        <v>23</v>
      </c>
      <c r="K79">
        <v>25</v>
      </c>
    </row>
    <row r="80" spans="1:11" x14ac:dyDescent="0.3">
      <c r="A80" s="3" t="s">
        <v>27</v>
      </c>
      <c r="B80">
        <v>36527</v>
      </c>
      <c r="C80">
        <v>216013</v>
      </c>
      <c r="D80">
        <v>20005</v>
      </c>
      <c r="E80">
        <v>1</v>
      </c>
      <c r="F80">
        <v>50</v>
      </c>
      <c r="G80">
        <v>0.1</v>
      </c>
      <c r="H80">
        <v>45</v>
      </c>
      <c r="I80" t="s">
        <v>8</v>
      </c>
      <c r="J80" t="s">
        <v>23</v>
      </c>
      <c r="K80">
        <v>50</v>
      </c>
    </row>
    <row r="83" spans="2:12" x14ac:dyDescent="0.3">
      <c r="B83" t="s">
        <v>30</v>
      </c>
      <c r="H83" t="s">
        <v>30</v>
      </c>
    </row>
    <row r="84" spans="2:12" x14ac:dyDescent="0.3">
      <c r="C84" t="s">
        <v>37</v>
      </c>
      <c r="D84" t="s">
        <v>38</v>
      </c>
      <c r="F84" t="s">
        <v>36</v>
      </c>
      <c r="I84" t="s">
        <v>37</v>
      </c>
      <c r="J84" t="s">
        <v>38</v>
      </c>
      <c r="L84" t="s">
        <v>36</v>
      </c>
    </row>
    <row r="85" spans="2:12" x14ac:dyDescent="0.3">
      <c r="B85" t="s">
        <v>31</v>
      </c>
      <c r="C85">
        <f>SUMIFS($E$2:$E$80, $A$2:$A$80, $B85, $I$2:$I$80, C$84)</f>
        <v>14</v>
      </c>
      <c r="D85">
        <f t="shared" ref="D85:F90" si="0">SUMIFS($E$2:$E$80, $A$2:$A$80, $B85, $I$2:$I$80, D$84)</f>
        <v>8</v>
      </c>
      <c r="E85">
        <f t="shared" si="0"/>
        <v>0</v>
      </c>
      <c r="F85">
        <f>SUM(C85:E85)</f>
        <v>22</v>
      </c>
      <c r="H85" t="s">
        <v>31</v>
      </c>
      <c r="I85">
        <f t="shared" ref="I85:K89" si="1">SUMIFS($E$2:$E$80, $A$2:$A$80, $B85, $I$2:$I$80, I$84)</f>
        <v>14</v>
      </c>
      <c r="J85">
        <f t="shared" si="1"/>
        <v>8</v>
      </c>
      <c r="K85">
        <f>SUMIFS($E$2:$E$80, $A$2:$A$80, $B85, $I$2:$I$80, K$84)</f>
        <v>0</v>
      </c>
    </row>
    <row r="86" spans="2:12" x14ac:dyDescent="0.3">
      <c r="B86" t="s">
        <v>32</v>
      </c>
      <c r="C86">
        <f t="shared" ref="C86:C90" si="2">SUMIFS($E$2:$E$80, $A$2:$A$80, $B86, $I$2:$I$80, C$84)</f>
        <v>0</v>
      </c>
      <c r="D86">
        <f t="shared" si="0"/>
        <v>0</v>
      </c>
      <c r="E86">
        <f t="shared" si="0"/>
        <v>0</v>
      </c>
      <c r="F86">
        <f t="shared" ref="F86:F89" si="3">SUM(C86:E86)</f>
        <v>0</v>
      </c>
      <c r="H86" t="s">
        <v>32</v>
      </c>
      <c r="I86">
        <f t="shared" si="1"/>
        <v>0</v>
      </c>
      <c r="J86">
        <f t="shared" si="1"/>
        <v>0</v>
      </c>
      <c r="K86">
        <f t="shared" si="1"/>
        <v>0</v>
      </c>
    </row>
    <row r="87" spans="2:12" x14ac:dyDescent="0.3">
      <c r="B87" t="s">
        <v>33</v>
      </c>
      <c r="C87">
        <f t="shared" si="2"/>
        <v>22</v>
      </c>
      <c r="D87">
        <f t="shared" si="0"/>
        <v>36</v>
      </c>
      <c r="E87">
        <f t="shared" si="0"/>
        <v>0</v>
      </c>
      <c r="F87">
        <f t="shared" si="3"/>
        <v>58</v>
      </c>
      <c r="H87" t="s">
        <v>33</v>
      </c>
      <c r="I87">
        <f t="shared" si="1"/>
        <v>22</v>
      </c>
      <c r="J87">
        <f t="shared" si="1"/>
        <v>36</v>
      </c>
      <c r="K87">
        <f t="shared" si="1"/>
        <v>0</v>
      </c>
    </row>
    <row r="88" spans="2:12" x14ac:dyDescent="0.3">
      <c r="B88" t="s">
        <v>34</v>
      </c>
      <c r="C88">
        <f t="shared" si="2"/>
        <v>0</v>
      </c>
      <c r="D88">
        <f t="shared" si="0"/>
        <v>0</v>
      </c>
      <c r="E88">
        <f t="shared" si="0"/>
        <v>0</v>
      </c>
      <c r="F88">
        <f>SUM(C88:E88)</f>
        <v>0</v>
      </c>
      <c r="H88" t="s">
        <v>34</v>
      </c>
      <c r="I88">
        <f t="shared" si="1"/>
        <v>0</v>
      </c>
      <c r="J88">
        <f t="shared" si="1"/>
        <v>0</v>
      </c>
      <c r="K88">
        <f t="shared" si="1"/>
        <v>0</v>
      </c>
    </row>
    <row r="89" spans="2:12" x14ac:dyDescent="0.3">
      <c r="B89" t="s">
        <v>35</v>
      </c>
      <c r="C89">
        <f t="shared" si="2"/>
        <v>21</v>
      </c>
      <c r="D89">
        <f t="shared" si="0"/>
        <v>27</v>
      </c>
      <c r="E89">
        <f t="shared" si="0"/>
        <v>0</v>
      </c>
      <c r="F89">
        <f t="shared" si="3"/>
        <v>48</v>
      </c>
      <c r="H89" t="s">
        <v>35</v>
      </c>
      <c r="I89">
        <f t="shared" si="1"/>
        <v>21</v>
      </c>
      <c r="J89">
        <f t="shared" si="1"/>
        <v>27</v>
      </c>
      <c r="K89">
        <f t="shared" si="1"/>
        <v>0</v>
      </c>
    </row>
    <row r="90" spans="2:12" x14ac:dyDescent="0.3">
      <c r="B90" t="s">
        <v>36</v>
      </c>
      <c r="C90">
        <f>SUM(C85:C89)</f>
        <v>57</v>
      </c>
      <c r="D90">
        <f t="shared" ref="D90:F90" si="4">SUM(D85:D89)</f>
        <v>71</v>
      </c>
      <c r="E90">
        <f t="shared" si="4"/>
        <v>0</v>
      </c>
      <c r="F90">
        <f t="shared" si="4"/>
        <v>128</v>
      </c>
      <c r="H90" t="s">
        <v>36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9"/>
  <sheetViews>
    <sheetView workbookViewId="0">
      <selection activeCell="H1" sqref="H1"/>
    </sheetView>
  </sheetViews>
  <sheetFormatPr defaultColWidth="9" defaultRowHeight="13.5" x14ac:dyDescent="0.3"/>
  <cols>
    <col min="1" max="1" width="10" style="1" bestFit="1" customWidth="1"/>
    <col min="2" max="3" width="9" style="1"/>
    <col min="4" max="4" width="7.375" style="1" customWidth="1"/>
    <col min="5" max="16384" width="9" style="1"/>
  </cols>
  <sheetData>
    <row r="1" spans="1:8" x14ac:dyDescent="0.3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10</v>
      </c>
    </row>
    <row r="2" spans="1:8" x14ac:dyDescent="0.3">
      <c r="A2" s="2">
        <v>36527</v>
      </c>
      <c r="B2" s="1">
        <v>213010</v>
      </c>
      <c r="C2" s="1">
        <v>20005</v>
      </c>
      <c r="D2" s="1">
        <v>7</v>
      </c>
      <c r="E2" s="1">
        <v>50</v>
      </c>
      <c r="F2" s="1">
        <v>0.1</v>
      </c>
      <c r="G2" s="1">
        <v>315</v>
      </c>
      <c r="H2" s="1" t="s">
        <v>7</v>
      </c>
    </row>
    <row r="3" spans="1:8" x14ac:dyDescent="0.3">
      <c r="A3" s="2">
        <v>36527</v>
      </c>
      <c r="B3" s="1">
        <v>213010</v>
      </c>
      <c r="C3" s="1">
        <v>32006</v>
      </c>
      <c r="D3" s="1">
        <v>3</v>
      </c>
      <c r="E3" s="1">
        <v>105</v>
      </c>
      <c r="F3" s="1">
        <v>0</v>
      </c>
      <c r="G3" s="1">
        <v>315</v>
      </c>
      <c r="H3" s="1" t="s">
        <v>7</v>
      </c>
    </row>
    <row r="4" spans="1:8" x14ac:dyDescent="0.3">
      <c r="A4" s="2">
        <v>36527</v>
      </c>
      <c r="B4" s="1">
        <v>213010</v>
      </c>
      <c r="C4" s="1">
        <v>32007</v>
      </c>
      <c r="D4" s="1">
        <v>2</v>
      </c>
      <c r="E4" s="1">
        <v>5</v>
      </c>
      <c r="F4" s="1">
        <v>0</v>
      </c>
      <c r="G4" s="1">
        <v>10</v>
      </c>
      <c r="H4" s="1" t="s">
        <v>7</v>
      </c>
    </row>
    <row r="5" spans="1:8" x14ac:dyDescent="0.3">
      <c r="A5" s="2">
        <v>36527</v>
      </c>
      <c r="B5" s="1">
        <v>213010</v>
      </c>
      <c r="C5" s="1">
        <v>20006</v>
      </c>
      <c r="D5" s="1">
        <v>3</v>
      </c>
      <c r="E5" s="1">
        <v>110</v>
      </c>
      <c r="F5" s="1">
        <v>0</v>
      </c>
      <c r="G5" s="1">
        <v>330</v>
      </c>
      <c r="H5" s="1" t="s">
        <v>7</v>
      </c>
    </row>
    <row r="6" spans="1:8" x14ac:dyDescent="0.3">
      <c r="A6" s="2">
        <v>36527</v>
      </c>
      <c r="B6" s="1">
        <v>213010</v>
      </c>
      <c r="C6" s="1">
        <v>20024</v>
      </c>
      <c r="D6" s="1">
        <v>3</v>
      </c>
      <c r="E6" s="1">
        <v>10</v>
      </c>
      <c r="F6" s="1">
        <v>0</v>
      </c>
      <c r="G6" s="1">
        <v>30</v>
      </c>
      <c r="H6" s="1" t="s">
        <v>7</v>
      </c>
    </row>
    <row r="7" spans="1:8" x14ac:dyDescent="0.3">
      <c r="A7" s="2">
        <v>36527</v>
      </c>
      <c r="B7" s="1">
        <v>213010</v>
      </c>
      <c r="C7" s="1">
        <v>10019</v>
      </c>
      <c r="D7" s="1">
        <v>3</v>
      </c>
      <c r="E7" s="1">
        <v>14</v>
      </c>
      <c r="F7" s="1">
        <v>0</v>
      </c>
      <c r="G7" s="1">
        <v>42</v>
      </c>
      <c r="H7" s="1" t="s">
        <v>7</v>
      </c>
    </row>
    <row r="8" spans="1:8" x14ac:dyDescent="0.3">
      <c r="A8" s="2">
        <v>36527</v>
      </c>
      <c r="B8" s="1">
        <v>213010</v>
      </c>
      <c r="C8" s="1">
        <v>32006</v>
      </c>
      <c r="D8" s="1">
        <v>1</v>
      </c>
      <c r="E8" s="1">
        <v>105</v>
      </c>
      <c r="F8" s="1">
        <v>0</v>
      </c>
      <c r="G8" s="1">
        <v>105</v>
      </c>
      <c r="H8" s="1" t="s">
        <v>7</v>
      </c>
    </row>
    <row r="9" spans="1:8" x14ac:dyDescent="0.3">
      <c r="A9" s="2">
        <v>36527</v>
      </c>
      <c r="B9" s="1">
        <v>213010</v>
      </c>
      <c r="C9" s="1">
        <v>32020</v>
      </c>
      <c r="D9" s="1">
        <v>1</v>
      </c>
      <c r="E9" s="1">
        <v>16</v>
      </c>
      <c r="F9" s="1">
        <v>0</v>
      </c>
      <c r="G9" s="1">
        <v>16</v>
      </c>
      <c r="H9" s="1" t="s">
        <v>8</v>
      </c>
    </row>
    <row r="10" spans="1:8" x14ac:dyDescent="0.3">
      <c r="A10" s="2">
        <v>36527</v>
      </c>
      <c r="B10" s="1">
        <v>213010</v>
      </c>
      <c r="C10" s="1">
        <v>10011</v>
      </c>
      <c r="D10" s="1">
        <v>1</v>
      </c>
      <c r="E10" s="1">
        <v>32</v>
      </c>
      <c r="F10" s="1">
        <v>0.03</v>
      </c>
      <c r="G10" s="1">
        <v>31.04</v>
      </c>
      <c r="H10" s="1" t="s">
        <v>8</v>
      </c>
    </row>
    <row r="11" spans="1:8" x14ac:dyDescent="0.3">
      <c r="A11" s="2">
        <v>36527</v>
      </c>
      <c r="B11" s="1">
        <v>213010</v>
      </c>
      <c r="C11" s="1">
        <v>90006</v>
      </c>
      <c r="D11" s="1">
        <v>3</v>
      </c>
      <c r="E11" s="1">
        <v>12</v>
      </c>
      <c r="F11" s="1">
        <v>0</v>
      </c>
      <c r="G11" s="1">
        <v>36</v>
      </c>
      <c r="H11" s="1" t="s">
        <v>8</v>
      </c>
    </row>
    <row r="12" spans="1:8" x14ac:dyDescent="0.3">
      <c r="A12" s="2">
        <v>36527</v>
      </c>
      <c r="B12" s="1">
        <v>213010</v>
      </c>
      <c r="C12" s="1">
        <v>32008</v>
      </c>
      <c r="D12" s="1">
        <v>2</v>
      </c>
      <c r="E12" s="1">
        <v>33</v>
      </c>
      <c r="F12" s="1">
        <v>0</v>
      </c>
      <c r="G12" s="1">
        <v>66</v>
      </c>
      <c r="H12" s="1" t="s">
        <v>8</v>
      </c>
    </row>
    <row r="13" spans="1:8" x14ac:dyDescent="0.3">
      <c r="A13" s="2">
        <v>36527</v>
      </c>
      <c r="B13" s="1">
        <v>216026</v>
      </c>
      <c r="C13" s="1">
        <v>20010</v>
      </c>
      <c r="D13" s="1">
        <v>1</v>
      </c>
      <c r="E13" s="1">
        <v>65</v>
      </c>
      <c r="F13" s="1">
        <v>0</v>
      </c>
      <c r="G13" s="1">
        <v>65</v>
      </c>
      <c r="H13" s="1" t="s">
        <v>8</v>
      </c>
    </row>
    <row r="14" spans="1:8" x14ac:dyDescent="0.3">
      <c r="A14" s="2">
        <v>36527</v>
      </c>
      <c r="B14" s="1">
        <v>216026</v>
      </c>
      <c r="C14" s="1">
        <v>20001</v>
      </c>
      <c r="D14" s="1">
        <v>5</v>
      </c>
      <c r="E14" s="1">
        <v>10</v>
      </c>
      <c r="F14" s="1">
        <v>0.05</v>
      </c>
      <c r="G14" s="1">
        <v>47.5</v>
      </c>
      <c r="H14" s="1" t="s">
        <v>8</v>
      </c>
    </row>
    <row r="15" spans="1:8" x14ac:dyDescent="0.3">
      <c r="A15" s="2">
        <v>36527</v>
      </c>
      <c r="B15" s="1">
        <v>216026</v>
      </c>
      <c r="C15" s="1">
        <v>20002</v>
      </c>
      <c r="D15" s="1">
        <v>3</v>
      </c>
      <c r="E15" s="1">
        <v>15</v>
      </c>
      <c r="F15" s="1">
        <v>0</v>
      </c>
      <c r="G15" s="1">
        <v>45</v>
      </c>
      <c r="H15" s="1" t="s">
        <v>8</v>
      </c>
    </row>
    <row r="16" spans="1:8" x14ac:dyDescent="0.3">
      <c r="A16" s="2">
        <v>36527</v>
      </c>
      <c r="B16" s="1">
        <v>216026</v>
      </c>
      <c r="C16" s="1">
        <v>30025</v>
      </c>
      <c r="D16" s="1">
        <v>2</v>
      </c>
      <c r="E16" s="1">
        <v>25</v>
      </c>
      <c r="F16" s="1">
        <v>0</v>
      </c>
      <c r="G16" s="1">
        <v>50</v>
      </c>
      <c r="H16" s="1" t="s">
        <v>8</v>
      </c>
    </row>
    <row r="17" spans="1:8" x14ac:dyDescent="0.3">
      <c r="A17" s="2">
        <v>36527</v>
      </c>
      <c r="B17" s="1">
        <v>216025</v>
      </c>
      <c r="C17" s="1">
        <v>20003</v>
      </c>
      <c r="D17" s="1">
        <v>1</v>
      </c>
      <c r="E17" s="1">
        <v>21</v>
      </c>
      <c r="F17" s="1">
        <v>0</v>
      </c>
      <c r="G17" s="1">
        <v>21</v>
      </c>
      <c r="H17" s="1" t="s">
        <v>8</v>
      </c>
    </row>
    <row r="18" spans="1:8" x14ac:dyDescent="0.3">
      <c r="A18" s="2">
        <v>36527</v>
      </c>
      <c r="B18" s="1">
        <v>216025</v>
      </c>
      <c r="C18" s="1">
        <v>20024</v>
      </c>
      <c r="D18" s="1">
        <v>12</v>
      </c>
      <c r="E18" s="1">
        <v>10</v>
      </c>
      <c r="F18" s="1">
        <v>0</v>
      </c>
      <c r="G18" s="1">
        <v>120</v>
      </c>
      <c r="H18" s="1" t="s">
        <v>8</v>
      </c>
    </row>
    <row r="19" spans="1:8" x14ac:dyDescent="0.3">
      <c r="A19" s="2">
        <v>36527</v>
      </c>
      <c r="B19" s="1">
        <v>216025</v>
      </c>
      <c r="C19" s="1">
        <v>20005</v>
      </c>
      <c r="D19" s="1">
        <v>5</v>
      </c>
      <c r="E19" s="1">
        <v>50</v>
      </c>
      <c r="F19" s="1">
        <v>0.1</v>
      </c>
      <c r="G19" s="1">
        <v>225</v>
      </c>
      <c r="H19" s="1" t="s">
        <v>8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9"/>
  <sheetViews>
    <sheetView workbookViewId="0">
      <selection activeCell="A5" sqref="A5"/>
    </sheetView>
  </sheetViews>
  <sheetFormatPr defaultColWidth="9" defaultRowHeight="13.5" x14ac:dyDescent="0.3"/>
  <cols>
    <col min="1" max="1" width="10" style="1" bestFit="1" customWidth="1"/>
    <col min="2" max="3" width="9" style="1"/>
    <col min="4" max="4" width="7.375" style="1" customWidth="1"/>
    <col min="5" max="7" width="9" style="1"/>
    <col min="8" max="8" width="11.375" style="1" bestFit="1" customWidth="1"/>
    <col min="9" max="16384" width="9" style="1"/>
  </cols>
  <sheetData>
    <row r="1" spans="1:8" x14ac:dyDescent="0.3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2">
        <v>36527</v>
      </c>
      <c r="B2" s="1">
        <v>21245</v>
      </c>
      <c r="C2" s="1">
        <v>90006</v>
      </c>
      <c r="D2" s="1">
        <v>1</v>
      </c>
      <c r="E2" s="1">
        <v>12</v>
      </c>
      <c r="F2" s="1">
        <v>0</v>
      </c>
      <c r="G2" s="1">
        <v>12</v>
      </c>
    </row>
    <row r="3" spans="1:8" x14ac:dyDescent="0.3">
      <c r="A3" s="2">
        <v>36527</v>
      </c>
      <c r="B3" s="1">
        <v>21245</v>
      </c>
      <c r="C3" s="1">
        <v>20010</v>
      </c>
      <c r="D3" s="1">
        <v>5</v>
      </c>
      <c r="E3" s="1">
        <v>65</v>
      </c>
      <c r="F3" s="1">
        <v>0</v>
      </c>
      <c r="G3" s="1">
        <v>325</v>
      </c>
    </row>
    <row r="4" spans="1:8" x14ac:dyDescent="0.3">
      <c r="A4" s="2">
        <v>36527</v>
      </c>
      <c r="B4" s="1">
        <v>21245</v>
      </c>
      <c r="C4" s="1">
        <v>32008</v>
      </c>
      <c r="D4" s="1">
        <v>10</v>
      </c>
      <c r="E4" s="1">
        <v>33</v>
      </c>
      <c r="F4" s="1">
        <v>0</v>
      </c>
      <c r="G4" s="1">
        <v>330</v>
      </c>
    </row>
    <row r="5" spans="1:8" x14ac:dyDescent="0.3">
      <c r="A5" s="2">
        <v>36527</v>
      </c>
      <c r="B5" s="1">
        <v>21245</v>
      </c>
      <c r="C5" s="1">
        <v>10011</v>
      </c>
      <c r="D5" s="1">
        <v>6</v>
      </c>
      <c r="E5" s="1">
        <v>32</v>
      </c>
      <c r="F5" s="1">
        <v>0.03</v>
      </c>
      <c r="G5" s="1">
        <v>186.24</v>
      </c>
    </row>
    <row r="6" spans="1:8" x14ac:dyDescent="0.3">
      <c r="A6" s="2">
        <v>36527</v>
      </c>
      <c r="B6" s="1">
        <v>21245</v>
      </c>
      <c r="C6" s="1">
        <v>20001</v>
      </c>
      <c r="D6" s="1">
        <v>3</v>
      </c>
      <c r="E6" s="1">
        <v>10</v>
      </c>
      <c r="F6" s="1">
        <v>0.05</v>
      </c>
      <c r="G6" s="1">
        <v>28.5</v>
      </c>
    </row>
    <row r="7" spans="1:8" x14ac:dyDescent="0.3">
      <c r="A7" s="2">
        <v>36527</v>
      </c>
      <c r="B7" s="1">
        <v>209003</v>
      </c>
      <c r="C7" s="1">
        <v>10019</v>
      </c>
      <c r="D7" s="1">
        <v>3</v>
      </c>
      <c r="E7" s="1">
        <v>14</v>
      </c>
      <c r="F7" s="1">
        <v>0</v>
      </c>
      <c r="G7" s="1">
        <v>42</v>
      </c>
    </row>
    <row r="8" spans="1:8" x14ac:dyDescent="0.3">
      <c r="A8" s="2">
        <v>36527</v>
      </c>
      <c r="B8" s="1">
        <v>209003</v>
      </c>
      <c r="C8" s="1">
        <v>90006</v>
      </c>
      <c r="D8" s="1">
        <v>4</v>
      </c>
      <c r="E8" s="1">
        <v>12</v>
      </c>
      <c r="F8" s="1">
        <v>0</v>
      </c>
      <c r="G8" s="1">
        <v>48</v>
      </c>
    </row>
    <row r="9" spans="1:8" x14ac:dyDescent="0.3">
      <c r="A9" s="2">
        <v>36527</v>
      </c>
      <c r="B9" s="1">
        <v>209003</v>
      </c>
      <c r="C9" s="1">
        <v>10021</v>
      </c>
      <c r="D9" s="1">
        <v>17</v>
      </c>
      <c r="E9" s="1">
        <v>15</v>
      </c>
      <c r="F9" s="1">
        <v>0.1</v>
      </c>
      <c r="G9" s="1">
        <v>229.5</v>
      </c>
    </row>
    <row r="10" spans="1:8" x14ac:dyDescent="0.3">
      <c r="A10" s="2">
        <v>36527</v>
      </c>
      <c r="B10" s="1">
        <v>209003</v>
      </c>
      <c r="C10" s="1">
        <v>20009</v>
      </c>
      <c r="D10" s="1">
        <v>3</v>
      </c>
      <c r="E10" s="1">
        <v>25</v>
      </c>
      <c r="F10" s="1">
        <v>0</v>
      </c>
      <c r="G10" s="1">
        <v>75</v>
      </c>
    </row>
    <row r="11" spans="1:8" x14ac:dyDescent="0.3">
      <c r="A11" s="2">
        <v>36527</v>
      </c>
      <c r="B11" s="1">
        <v>209003</v>
      </c>
      <c r="C11" s="1">
        <v>20002</v>
      </c>
      <c r="D11" s="1">
        <v>4</v>
      </c>
      <c r="E11" s="1">
        <v>15</v>
      </c>
      <c r="F11" s="1">
        <v>0</v>
      </c>
      <c r="G11" s="1">
        <v>60</v>
      </c>
    </row>
    <row r="12" spans="1:8" x14ac:dyDescent="0.3">
      <c r="A12" s="2">
        <v>36527</v>
      </c>
      <c r="B12" s="1">
        <v>216010</v>
      </c>
      <c r="C12" s="1">
        <v>10011</v>
      </c>
      <c r="D12" s="1">
        <v>2</v>
      </c>
      <c r="E12" s="1">
        <v>32</v>
      </c>
      <c r="F12" s="1">
        <v>0.03</v>
      </c>
      <c r="G12" s="1">
        <v>62.08</v>
      </c>
    </row>
    <row r="13" spans="1:8" x14ac:dyDescent="0.3">
      <c r="A13" s="2">
        <v>36527</v>
      </c>
      <c r="B13" s="1">
        <v>216010</v>
      </c>
      <c r="C13" s="1">
        <v>10019</v>
      </c>
      <c r="D13" s="1">
        <v>6</v>
      </c>
      <c r="E13" s="1">
        <v>14</v>
      </c>
      <c r="F13" s="1">
        <v>0</v>
      </c>
      <c r="G13" s="1">
        <v>84</v>
      </c>
    </row>
    <row r="14" spans="1:8" x14ac:dyDescent="0.3">
      <c r="A14" s="2">
        <v>36527</v>
      </c>
      <c r="B14" s="1">
        <v>216010</v>
      </c>
      <c r="C14" s="1">
        <v>20001</v>
      </c>
      <c r="D14" s="1">
        <v>1</v>
      </c>
      <c r="E14" s="1">
        <v>10</v>
      </c>
      <c r="F14" s="1">
        <v>0.05</v>
      </c>
      <c r="G14" s="1">
        <v>9.5</v>
      </c>
    </row>
    <row r="15" spans="1:8" x14ac:dyDescent="0.3">
      <c r="A15" s="2">
        <v>36527</v>
      </c>
      <c r="B15" s="1">
        <v>216010</v>
      </c>
      <c r="C15" s="1">
        <v>32020</v>
      </c>
      <c r="D15" s="1">
        <v>1</v>
      </c>
      <c r="E15" s="1">
        <v>16</v>
      </c>
      <c r="F15" s="1">
        <v>0</v>
      </c>
      <c r="G15" s="1">
        <v>16</v>
      </c>
    </row>
    <row r="16" spans="1:8" x14ac:dyDescent="0.3">
      <c r="A16" s="2">
        <v>36527</v>
      </c>
      <c r="B16" s="1">
        <v>217031</v>
      </c>
      <c r="C16" s="1">
        <v>30025</v>
      </c>
      <c r="D16" s="1">
        <v>3</v>
      </c>
      <c r="E16" s="1">
        <v>25</v>
      </c>
      <c r="F16" s="1">
        <v>0</v>
      </c>
      <c r="G16" s="1">
        <v>75</v>
      </c>
    </row>
    <row r="17" spans="1:7" x14ac:dyDescent="0.3">
      <c r="A17" s="2">
        <v>36527</v>
      </c>
      <c r="B17" s="1">
        <v>217031</v>
      </c>
      <c r="C17" s="1">
        <v>90006</v>
      </c>
      <c r="D17" s="1">
        <v>1</v>
      </c>
      <c r="E17" s="1">
        <v>12</v>
      </c>
      <c r="F17" s="1">
        <v>0</v>
      </c>
      <c r="G17" s="1">
        <v>12</v>
      </c>
    </row>
    <row r="18" spans="1:7" x14ac:dyDescent="0.3">
      <c r="A18" s="2">
        <v>36527</v>
      </c>
      <c r="B18" s="1">
        <v>217031</v>
      </c>
      <c r="C18" s="1">
        <v>20024</v>
      </c>
      <c r="D18" s="1">
        <v>3</v>
      </c>
      <c r="E18" s="1">
        <v>10</v>
      </c>
      <c r="F18" s="1">
        <v>0</v>
      </c>
      <c r="G18" s="1">
        <v>30</v>
      </c>
    </row>
    <row r="19" spans="1:7" x14ac:dyDescent="0.3">
      <c r="A19" s="2">
        <v>36527</v>
      </c>
      <c r="B19" s="1">
        <v>217031</v>
      </c>
      <c r="C19" s="1">
        <v>20003</v>
      </c>
      <c r="D19" s="1">
        <v>1</v>
      </c>
      <c r="E19" s="1">
        <v>21</v>
      </c>
      <c r="F19" s="1">
        <v>0</v>
      </c>
      <c r="G19" s="1">
        <v>21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5"/>
  <sheetViews>
    <sheetView workbookViewId="0">
      <selection activeCell="F22" sqref="F22"/>
    </sheetView>
  </sheetViews>
  <sheetFormatPr defaultColWidth="9" defaultRowHeight="13.5" x14ac:dyDescent="0.3"/>
  <cols>
    <col min="1" max="1" width="10" style="1" bestFit="1" customWidth="1"/>
    <col min="2" max="3" width="9" style="1"/>
    <col min="4" max="4" width="7.375" style="1" customWidth="1"/>
    <col min="5" max="8" width="9" style="1"/>
    <col min="9" max="9" width="11.375" style="1" bestFit="1" customWidth="1"/>
    <col min="10" max="16384" width="9" style="1"/>
  </cols>
  <sheetData>
    <row r="1" spans="1:9" x14ac:dyDescent="0.3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10</v>
      </c>
      <c r="I1" s="1" t="s">
        <v>6</v>
      </c>
    </row>
    <row r="2" spans="1:9" x14ac:dyDescent="0.3">
      <c r="A2" s="2">
        <v>36527</v>
      </c>
      <c r="B2" s="1">
        <v>209012</v>
      </c>
      <c r="C2" s="1">
        <v>20003</v>
      </c>
      <c r="D2" s="1">
        <v>3</v>
      </c>
      <c r="E2" s="1">
        <v>21</v>
      </c>
      <c r="F2" s="1">
        <v>0</v>
      </c>
      <c r="G2" s="1">
        <v>63</v>
      </c>
      <c r="H2" s="1" t="s">
        <v>8</v>
      </c>
    </row>
    <row r="3" spans="1:9" x14ac:dyDescent="0.3">
      <c r="A3" s="2">
        <v>36527</v>
      </c>
      <c r="B3" s="1">
        <v>209012</v>
      </c>
      <c r="C3" s="1">
        <v>10011</v>
      </c>
      <c r="D3" s="1">
        <v>7</v>
      </c>
      <c r="E3" s="1">
        <v>32</v>
      </c>
      <c r="F3" s="1">
        <v>0.03</v>
      </c>
      <c r="G3" s="1">
        <v>217.28</v>
      </c>
      <c r="H3" s="1" t="s">
        <v>8</v>
      </c>
    </row>
    <row r="4" spans="1:9" x14ac:dyDescent="0.3">
      <c r="A4" s="2">
        <v>36527</v>
      </c>
      <c r="B4" s="1">
        <v>216623</v>
      </c>
      <c r="C4" s="1">
        <v>20002</v>
      </c>
      <c r="D4" s="1">
        <v>1</v>
      </c>
      <c r="E4" s="1">
        <v>15</v>
      </c>
      <c r="F4" s="1">
        <v>0</v>
      </c>
      <c r="G4" s="1">
        <v>15</v>
      </c>
      <c r="H4" s="1" t="s">
        <v>7</v>
      </c>
    </row>
    <row r="5" spans="1:9" x14ac:dyDescent="0.3">
      <c r="A5" s="2">
        <v>36527</v>
      </c>
      <c r="B5" s="1">
        <v>216623</v>
      </c>
      <c r="C5" s="1">
        <v>20006</v>
      </c>
      <c r="D5" s="1">
        <v>8</v>
      </c>
      <c r="E5" s="1">
        <v>110</v>
      </c>
      <c r="F5" s="1">
        <v>0</v>
      </c>
      <c r="G5" s="1">
        <v>880</v>
      </c>
      <c r="H5" s="1" t="s">
        <v>7</v>
      </c>
    </row>
    <row r="6" spans="1:9" x14ac:dyDescent="0.3">
      <c r="A6" s="2">
        <v>36527</v>
      </c>
      <c r="B6" s="1">
        <v>216623</v>
      </c>
      <c r="C6" s="1">
        <v>32013</v>
      </c>
      <c r="D6" s="1">
        <v>9</v>
      </c>
      <c r="E6" s="1">
        <v>53</v>
      </c>
      <c r="F6" s="1">
        <v>0</v>
      </c>
      <c r="G6" s="1">
        <v>477</v>
      </c>
      <c r="H6" s="1" t="s">
        <v>7</v>
      </c>
    </row>
    <row r="7" spans="1:9" x14ac:dyDescent="0.3">
      <c r="A7" s="2">
        <v>36527</v>
      </c>
      <c r="B7" s="1">
        <v>210002</v>
      </c>
      <c r="C7" s="1">
        <v>10019</v>
      </c>
      <c r="D7" s="1">
        <v>2</v>
      </c>
      <c r="E7" s="1">
        <v>14</v>
      </c>
      <c r="F7" s="1">
        <v>0</v>
      </c>
      <c r="G7" s="1">
        <v>28</v>
      </c>
      <c r="H7" s="1" t="s">
        <v>7</v>
      </c>
    </row>
    <row r="8" spans="1:9" x14ac:dyDescent="0.3">
      <c r="A8" s="2">
        <v>36527</v>
      </c>
      <c r="B8" s="1">
        <v>210002</v>
      </c>
      <c r="C8" s="1">
        <v>32013</v>
      </c>
      <c r="D8" s="1">
        <v>1</v>
      </c>
      <c r="E8" s="1">
        <v>53</v>
      </c>
      <c r="F8" s="1">
        <v>0</v>
      </c>
      <c r="G8" s="1">
        <v>53</v>
      </c>
      <c r="H8" s="1" t="s">
        <v>7</v>
      </c>
    </row>
    <row r="9" spans="1:9" x14ac:dyDescent="0.3">
      <c r="A9" s="2">
        <v>36527</v>
      </c>
      <c r="B9" s="1">
        <v>210002</v>
      </c>
      <c r="C9" s="1">
        <v>32020</v>
      </c>
      <c r="D9" s="1">
        <v>5</v>
      </c>
      <c r="E9" s="1">
        <v>16</v>
      </c>
      <c r="F9" s="1">
        <v>0</v>
      </c>
      <c r="G9" s="1">
        <v>80</v>
      </c>
      <c r="H9" s="1" t="s">
        <v>8</v>
      </c>
    </row>
    <row r="10" spans="1:9" x14ac:dyDescent="0.3">
      <c r="A10" s="2">
        <v>36527</v>
      </c>
      <c r="B10" s="1">
        <v>210002</v>
      </c>
      <c r="C10" s="1">
        <v>10017</v>
      </c>
      <c r="D10" s="1">
        <v>1</v>
      </c>
      <c r="E10" s="1">
        <v>65</v>
      </c>
      <c r="F10" s="1">
        <v>0</v>
      </c>
      <c r="G10" s="1">
        <v>65</v>
      </c>
      <c r="H10" s="1" t="s">
        <v>8</v>
      </c>
    </row>
    <row r="11" spans="1:9" x14ac:dyDescent="0.3">
      <c r="A11" s="2">
        <v>36527</v>
      </c>
      <c r="B11" s="1">
        <v>210030</v>
      </c>
      <c r="C11" s="1">
        <v>20005</v>
      </c>
      <c r="D11" s="1">
        <v>3</v>
      </c>
      <c r="E11" s="1">
        <v>50</v>
      </c>
      <c r="F11" s="1">
        <v>0.1</v>
      </c>
      <c r="G11" s="1">
        <v>135</v>
      </c>
      <c r="H11" s="1" t="s">
        <v>8</v>
      </c>
    </row>
    <row r="12" spans="1:9" x14ac:dyDescent="0.3">
      <c r="A12" s="2">
        <v>36527</v>
      </c>
      <c r="B12" s="1">
        <v>210030</v>
      </c>
      <c r="C12" s="1">
        <v>32008</v>
      </c>
      <c r="D12" s="1">
        <v>1</v>
      </c>
      <c r="E12" s="1">
        <v>33</v>
      </c>
      <c r="F12" s="1">
        <v>0</v>
      </c>
      <c r="G12" s="1">
        <v>33</v>
      </c>
      <c r="H12" s="1" t="s">
        <v>8</v>
      </c>
    </row>
    <row r="13" spans="1:9" x14ac:dyDescent="0.3">
      <c r="A13" s="2">
        <v>36527</v>
      </c>
      <c r="B13" s="1">
        <v>210030</v>
      </c>
      <c r="C13" s="1">
        <v>20010</v>
      </c>
      <c r="D13" s="1">
        <v>1</v>
      </c>
      <c r="E13" s="1">
        <v>65</v>
      </c>
      <c r="F13" s="1">
        <v>0</v>
      </c>
      <c r="G13" s="1">
        <v>65</v>
      </c>
      <c r="H13" s="1" t="s">
        <v>8</v>
      </c>
    </row>
    <row r="14" spans="1:9" x14ac:dyDescent="0.3">
      <c r="A14" s="2">
        <v>36527</v>
      </c>
      <c r="B14" s="1">
        <v>216013</v>
      </c>
      <c r="C14" s="1">
        <v>32007</v>
      </c>
      <c r="D14" s="1">
        <v>5</v>
      </c>
      <c r="E14" s="1">
        <v>5</v>
      </c>
      <c r="F14" s="1">
        <v>0</v>
      </c>
      <c r="G14" s="1">
        <v>25</v>
      </c>
      <c r="H14" s="1" t="s">
        <v>8</v>
      </c>
    </row>
    <row r="15" spans="1:9" x14ac:dyDescent="0.3">
      <c r="A15" s="2">
        <v>36527</v>
      </c>
      <c r="B15" s="1">
        <v>216013</v>
      </c>
      <c r="C15" s="1">
        <v>20005</v>
      </c>
      <c r="D15" s="1">
        <v>1</v>
      </c>
      <c r="E15" s="1">
        <v>50</v>
      </c>
      <c r="F15" s="1">
        <v>0.1</v>
      </c>
      <c r="G15" s="1">
        <v>45</v>
      </c>
      <c r="H15" s="1" t="s">
        <v>8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C2160D-CE2C-44B3-84ED-3E6A809045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서울</vt:lpstr>
      <vt:lpstr>부산</vt:lpstr>
      <vt:lpstr>전주 (2)</vt:lpstr>
      <vt:lpstr>서울 (2)</vt:lpstr>
      <vt:lpstr>부산 (2)</vt:lpstr>
      <vt:lpstr>대전 (2)</vt:lpstr>
      <vt:lpstr>대구 (2)</vt:lpstr>
      <vt:lpstr>대구</vt:lpstr>
      <vt:lpstr>전주</vt:lpstr>
      <vt:lpstr>대전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2017-04-01T18:11:46Z</dcterms:created>
  <dcterms:modified xsi:type="dcterms:W3CDTF">2026-03-31T13:27:41Z</dcterms:modified>
</cp:coreProperties>
</file>