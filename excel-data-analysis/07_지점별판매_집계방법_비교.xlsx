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hogu\OneDrive\바탕 화면\막학기\빅데이터 이해 및 활용\6주차\C4\"/>
    </mc:Choice>
  </mc:AlternateContent>
  <xr:revisionPtr revIDLastSave="0" documentId="13_ncr:1_{1CEBA3E7-749C-4196-AA30-FCF106E06840}" xr6:coauthVersionLast="47" xr6:coauthVersionMax="47" xr10:uidLastSave="{00000000-0000-0000-0000-000000000000}"/>
  <bookViews>
    <workbookView xWindow="180" yWindow="270" windowWidth="15405" windowHeight="15000" activeTab="1" xr2:uid="{00000000-000D-0000-FFFF-FFFF00000000}"/>
  </bookViews>
  <sheets>
    <sheet name="원본 데이터" sheetId="1" r:id="rId1"/>
    <sheet name="Sheet2" sheetId="10" r:id="rId2"/>
    <sheet name="sheet1" sheetId="9" r:id="rId3"/>
  </sheets>
  <calcPr calcId="191029"/>
  <pivotCaches>
    <pivotCache cacheId="5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5" i="1" l="1"/>
  <c r="O16" i="1"/>
  <c r="O17" i="1"/>
  <c r="O18" i="1"/>
  <c r="O19" i="1"/>
  <c r="O20" i="1"/>
  <c r="O21" i="1"/>
  <c r="I21" i="1"/>
  <c r="J21" i="1"/>
  <c r="K21" i="1"/>
  <c r="L21" i="1"/>
  <c r="M21" i="1"/>
  <c r="N21" i="1"/>
  <c r="I16" i="1"/>
  <c r="J16" i="1"/>
  <c r="K16" i="1"/>
  <c r="L16" i="1"/>
  <c r="M16" i="1"/>
  <c r="N16" i="1"/>
  <c r="I17" i="1"/>
  <c r="J17" i="1"/>
  <c r="K17" i="1"/>
  <c r="L17" i="1"/>
  <c r="M17" i="1"/>
  <c r="N17" i="1"/>
  <c r="I18" i="1"/>
  <c r="J18" i="1"/>
  <c r="K18" i="1"/>
  <c r="L18" i="1"/>
  <c r="M18" i="1"/>
  <c r="N18" i="1"/>
  <c r="I19" i="1"/>
  <c r="J19" i="1"/>
  <c r="K19" i="1"/>
  <c r="L19" i="1"/>
  <c r="M19" i="1"/>
  <c r="N19" i="1"/>
  <c r="I20" i="1"/>
  <c r="J20" i="1"/>
  <c r="K20" i="1"/>
  <c r="L20" i="1"/>
  <c r="M20" i="1"/>
  <c r="N20" i="1"/>
  <c r="J15" i="1"/>
  <c r="K15" i="1"/>
  <c r="L15" i="1"/>
  <c r="M15" i="1"/>
  <c r="N15" i="1"/>
  <c r="I15" i="1"/>
  <c r="J10" i="1"/>
  <c r="K10" i="1"/>
  <c r="L10" i="1"/>
  <c r="M10" i="1"/>
  <c r="N10" i="1"/>
  <c r="O10" i="1"/>
  <c r="I10" i="1"/>
  <c r="O5" i="1"/>
  <c r="O6" i="1"/>
  <c r="O7" i="1"/>
  <c r="O8" i="1"/>
  <c r="O9" i="1"/>
  <c r="O4" i="1"/>
</calcChain>
</file>

<file path=xl/sharedStrings.xml><?xml version="1.0" encoding="utf-8"?>
<sst xmlns="http://schemas.openxmlformats.org/spreadsheetml/2006/main" count="188" uniqueCount="29">
  <si>
    <t>지점명</t>
  </si>
  <si>
    <t>제품가격</t>
    <phoneticPr fontId="1" type="noConversion"/>
  </si>
  <si>
    <t>판매수량</t>
    <phoneticPr fontId="1" type="noConversion"/>
  </si>
  <si>
    <t>과자</t>
  </si>
  <si>
    <t>재고잔량</t>
    <phoneticPr fontId="1" type="noConversion"/>
  </si>
  <si>
    <t>강릉</t>
  </si>
  <si>
    <t>대구</t>
  </si>
  <si>
    <t>대전</t>
  </si>
  <si>
    <t>부산</t>
  </si>
  <si>
    <t>서울</t>
  </si>
  <si>
    <t>에어컨</t>
  </si>
  <si>
    <t>컵라면</t>
  </si>
  <si>
    <t>아이스크림</t>
  </si>
  <si>
    <t>전자레인지</t>
  </si>
  <si>
    <t>제품</t>
    <phoneticPr fontId="1" type="noConversion"/>
  </si>
  <si>
    <t>충주</t>
  </si>
  <si>
    <t>총합계</t>
  </si>
  <si>
    <t>온도계</t>
  </si>
  <si>
    <t xml:space="preserve">집계1 : 정렬하여 집계하는 방법 </t>
    <phoneticPr fontId="1" type="noConversion"/>
  </si>
  <si>
    <t xml:space="preserve">집계2 : 함수를 이용하여 집계하는 방법 </t>
    <phoneticPr fontId="1" type="noConversion"/>
  </si>
  <si>
    <t>제품</t>
  </si>
  <si>
    <t>제품가격</t>
  </si>
  <si>
    <t>판매수량</t>
  </si>
  <si>
    <t>재고잔량</t>
  </si>
  <si>
    <t>행 레이블</t>
  </si>
  <si>
    <t>열 레이블</t>
  </si>
  <si>
    <t>합계 : 판매수량</t>
  </si>
  <si>
    <t>(모두)</t>
  </si>
  <si>
    <t>평균 : 판매수량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</si>
</sst>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rgb="FF0070C0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0" xfId="0" applyFill="1">
      <alignment vertical="center"/>
    </xf>
    <xf numFmtId="0" fontId="3" fillId="0" borderId="0" xfId="0" applyFont="1">
      <alignment vertical="center"/>
    </xf>
    <xf numFmtId="0" fontId="0" fillId="0" borderId="1" xfId="0" applyBorder="1">
      <alignment vertical="center"/>
    </xf>
    <xf numFmtId="0" fontId="0" fillId="3" borderId="1" xfId="0" applyFill="1" applyBorder="1">
      <alignment vertical="center"/>
    </xf>
    <xf numFmtId="0" fontId="4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4" borderId="1" xfId="0" applyFont="1" applyFill="1" applyBorder="1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[지점별 판매데이터.xlsx]sheet1!피벗 테이블1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0702537182852145"/>
          <c:y val="0.16564596092155148"/>
          <c:w val="0.70023425196850397"/>
          <c:h val="0.6373505395158938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sheet1!$H$2:$H$3</c:f>
              <c:strCache>
                <c:ptCount val="1"/>
                <c:pt idx="0">
                  <c:v>과자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sheet1!$G$4:$G$10</c:f>
              <c:strCache>
                <c:ptCount val="6"/>
                <c:pt idx="0">
                  <c:v>강릉</c:v>
                </c:pt>
                <c:pt idx="1">
                  <c:v>대구</c:v>
                </c:pt>
                <c:pt idx="2">
                  <c:v>대전</c:v>
                </c:pt>
                <c:pt idx="3">
                  <c:v>부산</c:v>
                </c:pt>
                <c:pt idx="4">
                  <c:v>서울</c:v>
                </c:pt>
                <c:pt idx="5">
                  <c:v>충주</c:v>
                </c:pt>
              </c:strCache>
            </c:strRef>
          </c:cat>
          <c:val>
            <c:numRef>
              <c:f>sheet1!$H$4:$H$10</c:f>
              <c:numCache>
                <c:formatCode>General</c:formatCode>
                <c:ptCount val="6"/>
                <c:pt idx="0">
                  <c:v>200</c:v>
                </c:pt>
                <c:pt idx="1">
                  <c:v>175</c:v>
                </c:pt>
                <c:pt idx="2">
                  <c:v>300</c:v>
                </c:pt>
                <c:pt idx="3">
                  <c:v>285</c:v>
                </c:pt>
                <c:pt idx="4">
                  <c:v>390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66-49DF-96A4-327FFEBFB456}"/>
            </c:ext>
          </c:extLst>
        </c:ser>
        <c:ser>
          <c:idx val="1"/>
          <c:order val="1"/>
          <c:tx>
            <c:strRef>
              <c:f>sheet1!$I$2:$I$3</c:f>
              <c:strCache>
                <c:ptCount val="1"/>
                <c:pt idx="0">
                  <c:v>아이스크림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sheet1!$G$4:$G$10</c:f>
              <c:strCache>
                <c:ptCount val="6"/>
                <c:pt idx="0">
                  <c:v>강릉</c:v>
                </c:pt>
                <c:pt idx="1">
                  <c:v>대구</c:v>
                </c:pt>
                <c:pt idx="2">
                  <c:v>대전</c:v>
                </c:pt>
                <c:pt idx="3">
                  <c:v>부산</c:v>
                </c:pt>
                <c:pt idx="4">
                  <c:v>서울</c:v>
                </c:pt>
                <c:pt idx="5">
                  <c:v>충주</c:v>
                </c:pt>
              </c:strCache>
            </c:strRef>
          </c:cat>
          <c:val>
            <c:numRef>
              <c:f>sheet1!$I$4:$I$10</c:f>
              <c:numCache>
                <c:formatCode>General</c:formatCode>
                <c:ptCount val="6"/>
                <c:pt idx="1">
                  <c:v>120</c:v>
                </c:pt>
                <c:pt idx="2">
                  <c:v>70</c:v>
                </c:pt>
                <c:pt idx="3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166-49DF-96A4-327FFEBFB456}"/>
            </c:ext>
          </c:extLst>
        </c:ser>
        <c:ser>
          <c:idx val="2"/>
          <c:order val="2"/>
          <c:tx>
            <c:strRef>
              <c:f>sheet1!$J$2:$J$3</c:f>
              <c:strCache>
                <c:ptCount val="1"/>
                <c:pt idx="0">
                  <c:v>에어컨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sheet1!$G$4:$G$10</c:f>
              <c:strCache>
                <c:ptCount val="6"/>
                <c:pt idx="0">
                  <c:v>강릉</c:v>
                </c:pt>
                <c:pt idx="1">
                  <c:v>대구</c:v>
                </c:pt>
                <c:pt idx="2">
                  <c:v>대전</c:v>
                </c:pt>
                <c:pt idx="3">
                  <c:v>부산</c:v>
                </c:pt>
                <c:pt idx="4">
                  <c:v>서울</c:v>
                </c:pt>
                <c:pt idx="5">
                  <c:v>충주</c:v>
                </c:pt>
              </c:strCache>
            </c:strRef>
          </c:cat>
          <c:val>
            <c:numRef>
              <c:f>sheet1!$J$4:$J$10</c:f>
              <c:numCache>
                <c:formatCode>General</c:formatCode>
                <c:ptCount val="6"/>
                <c:pt idx="0">
                  <c:v>560</c:v>
                </c:pt>
                <c:pt idx="3">
                  <c:v>560</c:v>
                </c:pt>
                <c:pt idx="4">
                  <c:v>410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166-49DF-96A4-327FFEBFB456}"/>
            </c:ext>
          </c:extLst>
        </c:ser>
        <c:ser>
          <c:idx val="3"/>
          <c:order val="3"/>
          <c:tx>
            <c:strRef>
              <c:f>sheet1!$K$2:$K$3</c:f>
              <c:strCache>
                <c:ptCount val="1"/>
                <c:pt idx="0">
                  <c:v>온도계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sheet1!$G$4:$G$10</c:f>
              <c:strCache>
                <c:ptCount val="6"/>
                <c:pt idx="0">
                  <c:v>강릉</c:v>
                </c:pt>
                <c:pt idx="1">
                  <c:v>대구</c:v>
                </c:pt>
                <c:pt idx="2">
                  <c:v>대전</c:v>
                </c:pt>
                <c:pt idx="3">
                  <c:v>부산</c:v>
                </c:pt>
                <c:pt idx="4">
                  <c:v>서울</c:v>
                </c:pt>
                <c:pt idx="5">
                  <c:v>충주</c:v>
                </c:pt>
              </c:strCache>
            </c:strRef>
          </c:cat>
          <c:val>
            <c:numRef>
              <c:f>sheet1!$K$4:$K$10</c:f>
              <c:numCache>
                <c:formatCode>General</c:formatCode>
                <c:ptCount val="6"/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166-49DF-96A4-327FFEBFB456}"/>
            </c:ext>
          </c:extLst>
        </c:ser>
        <c:ser>
          <c:idx val="4"/>
          <c:order val="4"/>
          <c:tx>
            <c:strRef>
              <c:f>sheet1!$L$2:$L$3</c:f>
              <c:strCache>
                <c:ptCount val="1"/>
                <c:pt idx="0">
                  <c:v>전자레인지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sheet1!$G$4:$G$10</c:f>
              <c:strCache>
                <c:ptCount val="6"/>
                <c:pt idx="0">
                  <c:v>강릉</c:v>
                </c:pt>
                <c:pt idx="1">
                  <c:v>대구</c:v>
                </c:pt>
                <c:pt idx="2">
                  <c:v>대전</c:v>
                </c:pt>
                <c:pt idx="3">
                  <c:v>부산</c:v>
                </c:pt>
                <c:pt idx="4">
                  <c:v>서울</c:v>
                </c:pt>
                <c:pt idx="5">
                  <c:v>충주</c:v>
                </c:pt>
              </c:strCache>
            </c:strRef>
          </c:cat>
          <c:val>
            <c:numRef>
              <c:f>sheet1!$L$4:$L$10</c:f>
              <c:numCache>
                <c:formatCode>General</c:formatCode>
                <c:ptCount val="6"/>
                <c:pt idx="1">
                  <c:v>75</c:v>
                </c:pt>
                <c:pt idx="2">
                  <c:v>20</c:v>
                </c:pt>
                <c:pt idx="3">
                  <c:v>75</c:v>
                </c:pt>
                <c:pt idx="5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166-49DF-96A4-327FFEBFB456}"/>
            </c:ext>
          </c:extLst>
        </c:ser>
        <c:ser>
          <c:idx val="5"/>
          <c:order val="5"/>
          <c:tx>
            <c:strRef>
              <c:f>sheet1!$M$2:$M$3</c:f>
              <c:strCache>
                <c:ptCount val="1"/>
                <c:pt idx="0">
                  <c:v>컵라면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sheet1!$G$4:$G$10</c:f>
              <c:strCache>
                <c:ptCount val="6"/>
                <c:pt idx="0">
                  <c:v>강릉</c:v>
                </c:pt>
                <c:pt idx="1">
                  <c:v>대구</c:v>
                </c:pt>
                <c:pt idx="2">
                  <c:v>대전</c:v>
                </c:pt>
                <c:pt idx="3">
                  <c:v>부산</c:v>
                </c:pt>
                <c:pt idx="4">
                  <c:v>서울</c:v>
                </c:pt>
                <c:pt idx="5">
                  <c:v>충주</c:v>
                </c:pt>
              </c:strCache>
            </c:strRef>
          </c:cat>
          <c:val>
            <c:numRef>
              <c:f>sheet1!$M$4:$M$10</c:f>
              <c:numCache>
                <c:formatCode>General</c:formatCode>
                <c:ptCount val="6"/>
                <c:pt idx="0">
                  <c:v>100</c:v>
                </c:pt>
                <c:pt idx="1">
                  <c:v>220</c:v>
                </c:pt>
                <c:pt idx="2">
                  <c:v>300</c:v>
                </c:pt>
                <c:pt idx="4">
                  <c:v>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166-49DF-96A4-327FFEBFB4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1810879"/>
        <c:axId val="181813759"/>
      </c:barChart>
      <c:catAx>
        <c:axId val="1818108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1813759"/>
        <c:crosses val="autoZero"/>
        <c:auto val="1"/>
        <c:lblAlgn val="ctr"/>
        <c:lblOffset val="100"/>
        <c:noMultiLvlLbl val="0"/>
      </c:catAx>
      <c:valAx>
        <c:axId val="181813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18108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671512</xdr:colOff>
      <xdr:row>11</xdr:row>
      <xdr:rowOff>204787</xdr:rowOff>
    </xdr:from>
    <xdr:to>
      <xdr:col>11</xdr:col>
      <xdr:colOff>509587</xdr:colOff>
      <xdr:row>25</xdr:row>
      <xdr:rowOff>14287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E0FCC0FE-7B56-6E6C-841E-F8A1523F3C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" refreshedDate="46120.859544675928" createdVersion="8" refreshedVersion="8" minRefreshableVersion="3" recordCount="30" xr:uid="{67CF1CD4-4789-45FF-83BE-D5BD13C89B8D}">
  <cacheSource type="worksheet">
    <worksheetSource ref="A1:E31" sheet="sheet1"/>
  </cacheSource>
  <cacheFields count="5">
    <cacheField name="지점명" numFmtId="0">
      <sharedItems count="6">
        <s v="서울"/>
        <s v="충주"/>
        <s v="대전"/>
        <s v="대구"/>
        <s v="부산"/>
        <s v="강릉"/>
      </sharedItems>
    </cacheField>
    <cacheField name="제품" numFmtId="0">
      <sharedItems count="6">
        <s v="에어컨"/>
        <s v="온도계"/>
        <s v="전자레인지"/>
        <s v="컵라면"/>
        <s v="아이스크림"/>
        <s v="과자"/>
      </sharedItems>
    </cacheField>
    <cacheField name="제품가격" numFmtId="0">
      <sharedItems containsSemiMixedTypes="0" containsString="0" containsNumber="1" containsInteger="1" minValue="1" maxValue="1000"/>
    </cacheField>
    <cacheField name="판매수량" numFmtId="0">
      <sharedItems containsSemiMixedTypes="0" containsString="0" containsNumber="1" containsInteger="1" minValue="1" maxValue="310"/>
    </cacheField>
    <cacheField name="재고잔량" numFmtId="0">
      <sharedItems containsSemiMixedTypes="0" containsString="0" containsNumber="1" containsInteger="1" minValue="1" maxValue="15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x v="0"/>
    <x v="0"/>
    <n v="1000"/>
    <n v="100"/>
    <n v="10"/>
  </r>
  <r>
    <x v="1"/>
    <x v="1"/>
    <n v="1"/>
    <n v="1"/>
    <n v="1"/>
  </r>
  <r>
    <x v="2"/>
    <x v="2"/>
    <n v="500"/>
    <n v="20"/>
    <n v="20"/>
  </r>
  <r>
    <x v="3"/>
    <x v="3"/>
    <n v="150"/>
    <n v="30"/>
    <n v="30"/>
  </r>
  <r>
    <x v="4"/>
    <x v="4"/>
    <n v="300"/>
    <n v="50"/>
    <n v="40"/>
  </r>
  <r>
    <x v="5"/>
    <x v="5"/>
    <n v="800"/>
    <n v="110"/>
    <n v="50"/>
  </r>
  <r>
    <x v="0"/>
    <x v="5"/>
    <n v="800"/>
    <n v="90"/>
    <n v="60"/>
  </r>
  <r>
    <x v="2"/>
    <x v="3"/>
    <n v="150"/>
    <n v="80"/>
    <n v="70"/>
  </r>
  <r>
    <x v="3"/>
    <x v="4"/>
    <n v="300"/>
    <n v="70"/>
    <n v="80"/>
  </r>
  <r>
    <x v="4"/>
    <x v="2"/>
    <n v="500"/>
    <n v="75"/>
    <n v="90"/>
  </r>
  <r>
    <x v="5"/>
    <x v="0"/>
    <n v="1000"/>
    <n v="250"/>
    <n v="100"/>
  </r>
  <r>
    <x v="0"/>
    <x v="0"/>
    <n v="1000"/>
    <n v="310"/>
    <n v="110"/>
  </r>
  <r>
    <x v="2"/>
    <x v="5"/>
    <n v="800"/>
    <n v="300"/>
    <n v="120"/>
  </r>
  <r>
    <x v="3"/>
    <x v="3"/>
    <n v="150"/>
    <n v="190"/>
    <n v="130"/>
  </r>
  <r>
    <x v="4"/>
    <x v="5"/>
    <n v="800"/>
    <n v="175"/>
    <n v="140"/>
  </r>
  <r>
    <x v="5"/>
    <x v="3"/>
    <n v="150"/>
    <n v="100"/>
    <n v="150"/>
  </r>
  <r>
    <x v="1"/>
    <x v="2"/>
    <n v="500"/>
    <n v="20"/>
    <n v="20"/>
  </r>
  <r>
    <x v="2"/>
    <x v="3"/>
    <n v="150"/>
    <n v="30"/>
    <n v="30"/>
  </r>
  <r>
    <x v="3"/>
    <x v="4"/>
    <n v="300"/>
    <n v="50"/>
    <n v="40"/>
  </r>
  <r>
    <x v="4"/>
    <x v="5"/>
    <n v="800"/>
    <n v="110"/>
    <n v="50"/>
  </r>
  <r>
    <x v="5"/>
    <x v="5"/>
    <n v="800"/>
    <n v="90"/>
    <n v="60"/>
  </r>
  <r>
    <x v="0"/>
    <x v="3"/>
    <n v="150"/>
    <n v="80"/>
    <n v="70"/>
  </r>
  <r>
    <x v="2"/>
    <x v="4"/>
    <n v="300"/>
    <n v="70"/>
    <n v="80"/>
  </r>
  <r>
    <x v="3"/>
    <x v="2"/>
    <n v="500"/>
    <n v="75"/>
    <n v="90"/>
  </r>
  <r>
    <x v="4"/>
    <x v="0"/>
    <n v="1000"/>
    <n v="250"/>
    <n v="100"/>
  </r>
  <r>
    <x v="5"/>
    <x v="0"/>
    <n v="1000"/>
    <n v="310"/>
    <n v="110"/>
  </r>
  <r>
    <x v="0"/>
    <x v="5"/>
    <n v="800"/>
    <n v="300"/>
    <n v="120"/>
  </r>
  <r>
    <x v="2"/>
    <x v="3"/>
    <n v="150"/>
    <n v="190"/>
    <n v="130"/>
  </r>
  <r>
    <x v="3"/>
    <x v="5"/>
    <n v="800"/>
    <n v="175"/>
    <n v="140"/>
  </r>
  <r>
    <x v="4"/>
    <x v="0"/>
    <n v="1000"/>
    <n v="310"/>
    <n v="11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6AC8F4E-1E48-468F-A8D7-BE355B2AD390}" name="피벗 테이블2" cacheId="5" applyNumberFormats="0" applyBorderFormats="0" applyFontFormats="0" applyPatternFormats="0" applyAlignmentFormats="0" applyWidthHeightFormats="1" dataCaption="값" updatedVersion="8" minRefreshableVersion="3" useAutoFormatting="1" itemPrintTitles="1" createdVersion="8" indent="0" outline="1" outlineData="1" multipleFieldFilters="0">
  <location ref="A3:B10" firstHeaderRow="1" firstDataRow="1" firstDataCol="1" rowPageCount="1" colPageCount="1"/>
  <pivotFields count="5">
    <pivotField axis="axisRow" showAll="0">
      <items count="7">
        <item x="5"/>
        <item x="3"/>
        <item x="2"/>
        <item x="4"/>
        <item x="0"/>
        <item x="1"/>
        <item t="default"/>
      </items>
    </pivotField>
    <pivotField axis="axisPage" showAll="0">
      <items count="7">
        <item x="5"/>
        <item x="4"/>
        <item x="0"/>
        <item x="1"/>
        <item x="2"/>
        <item x="3"/>
        <item t="default"/>
      </items>
    </pivotField>
    <pivotField showAll="0"/>
    <pivotField dataField="1" showAll="0"/>
    <pivotField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pageFields count="1">
    <pageField fld="1" hier="-1"/>
  </pageFields>
  <dataFields count="1">
    <dataField name="평균 : 판매수량" fld="3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C233943-434C-4759-9A5A-D01EF45296A5}" name="피벗 테이블1" cacheId="5" applyNumberFormats="0" applyBorderFormats="0" applyFontFormats="0" applyPatternFormats="0" applyAlignmentFormats="0" applyWidthHeightFormats="1" dataCaption="값" updatedVersion="8" minRefreshableVersion="3" useAutoFormatting="1" itemPrintTitles="1" createdVersion="8" indent="0" outline="1" outlineData="1" multipleFieldFilters="0" chartFormat="2">
  <location ref="G2:N10" firstHeaderRow="1" firstDataRow="2" firstDataCol="1"/>
  <pivotFields count="5">
    <pivotField axis="axisRow" showAll="0">
      <items count="7">
        <item x="5"/>
        <item x="3"/>
        <item x="2"/>
        <item x="4"/>
        <item x="0"/>
        <item x="1"/>
        <item t="default"/>
      </items>
    </pivotField>
    <pivotField axis="axisCol" showAll="0">
      <items count="7">
        <item x="5"/>
        <item x="4"/>
        <item x="0"/>
        <item x="1"/>
        <item x="2"/>
        <item x="3"/>
        <item t="default"/>
      </items>
    </pivotField>
    <pivotField showAll="0"/>
    <pivotField dataField="1" showAll="0"/>
    <pivotField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1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합계 : 판매수량" fld="3" baseField="0" baseItem="0"/>
  </dataFields>
  <chartFormats count="6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3"/>
  <sheetViews>
    <sheetView workbookViewId="0">
      <selection activeCell="R16" sqref="R16"/>
    </sheetView>
  </sheetViews>
  <sheetFormatPr defaultColWidth="10.125" defaultRowHeight="16.5" x14ac:dyDescent="0.3"/>
  <cols>
    <col min="1" max="1" width="10.125" style="1"/>
    <col min="2" max="2" width="11" style="1" bestFit="1" customWidth="1"/>
    <col min="3" max="5" width="10.125" style="1"/>
    <col min="6" max="6" width="5" style="1" customWidth="1"/>
    <col min="7" max="16384" width="10.125" style="1"/>
  </cols>
  <sheetData>
    <row r="1" spans="1:18" x14ac:dyDescent="0.3">
      <c r="A1" s="2" t="s">
        <v>0</v>
      </c>
      <c r="B1" s="2" t="s">
        <v>14</v>
      </c>
      <c r="C1" s="2" t="s">
        <v>1</v>
      </c>
      <c r="D1" s="2" t="s">
        <v>2</v>
      </c>
      <c r="E1" s="2" t="s">
        <v>4</v>
      </c>
    </row>
    <row r="2" spans="1:18" x14ac:dyDescent="0.3">
      <c r="A2" s="4" t="s">
        <v>5</v>
      </c>
      <c r="B2" s="4" t="s">
        <v>3</v>
      </c>
      <c r="C2" s="3">
        <v>800</v>
      </c>
      <c r="D2" s="3">
        <v>110</v>
      </c>
      <c r="E2" s="3">
        <v>50</v>
      </c>
      <c r="H2" s="6" t="s">
        <v>18</v>
      </c>
      <c r="I2"/>
      <c r="J2"/>
      <c r="K2"/>
      <c r="L2"/>
      <c r="M2"/>
      <c r="N2"/>
      <c r="O2"/>
    </row>
    <row r="3" spans="1:18" x14ac:dyDescent="0.3">
      <c r="A3" s="4" t="s">
        <v>5</v>
      </c>
      <c r="B3" s="4" t="s">
        <v>3</v>
      </c>
      <c r="C3" s="3">
        <v>800</v>
      </c>
      <c r="D3" s="3">
        <v>90</v>
      </c>
      <c r="E3" s="3">
        <v>60</v>
      </c>
      <c r="H3" s="7"/>
      <c r="I3" s="8" t="s">
        <v>3</v>
      </c>
      <c r="J3" s="8" t="s">
        <v>12</v>
      </c>
      <c r="K3" s="8" t="s">
        <v>10</v>
      </c>
      <c r="L3" s="8" t="s">
        <v>17</v>
      </c>
      <c r="M3" s="8" t="s">
        <v>13</v>
      </c>
      <c r="N3" s="8" t="s">
        <v>11</v>
      </c>
      <c r="O3" s="8" t="s">
        <v>16</v>
      </c>
      <c r="Q3" s="9"/>
      <c r="R3" s="9"/>
    </row>
    <row r="4" spans="1:18" x14ac:dyDescent="0.3">
      <c r="A4" s="4" t="s">
        <v>5</v>
      </c>
      <c r="B4" s="4" t="s">
        <v>10</v>
      </c>
      <c r="C4" s="3">
        <v>1000</v>
      </c>
      <c r="D4" s="3">
        <v>250</v>
      </c>
      <c r="E4" s="3">
        <v>100</v>
      </c>
      <c r="H4" s="8" t="s">
        <v>5</v>
      </c>
      <c r="I4" s="7">
        <v>200</v>
      </c>
      <c r="J4" s="7"/>
      <c r="K4" s="7">
        <v>560</v>
      </c>
      <c r="L4" s="7"/>
      <c r="M4" s="7"/>
      <c r="N4" s="7">
        <v>100</v>
      </c>
      <c r="O4" s="7">
        <f>SUM(I4:N4)</f>
        <v>860</v>
      </c>
      <c r="Q4" s="10"/>
      <c r="R4" s="10"/>
    </row>
    <row r="5" spans="1:18" x14ac:dyDescent="0.3">
      <c r="A5" s="4" t="s">
        <v>5</v>
      </c>
      <c r="B5" s="4" t="s">
        <v>10</v>
      </c>
      <c r="C5" s="3">
        <v>1000</v>
      </c>
      <c r="D5" s="3">
        <v>310</v>
      </c>
      <c r="E5" s="3">
        <v>110</v>
      </c>
      <c r="H5" s="8" t="s">
        <v>6</v>
      </c>
      <c r="I5" s="7">
        <v>175</v>
      </c>
      <c r="J5" s="7">
        <v>120</v>
      </c>
      <c r="K5" s="7"/>
      <c r="L5" s="7"/>
      <c r="M5" s="7">
        <v>75</v>
      </c>
      <c r="N5" s="7">
        <v>220</v>
      </c>
      <c r="O5" s="7">
        <f t="shared" ref="O5:O9" si="0">SUM(I5:N5)</f>
        <v>590</v>
      </c>
      <c r="Q5" s="10"/>
      <c r="R5" s="10"/>
    </row>
    <row r="6" spans="1:18" x14ac:dyDescent="0.3">
      <c r="A6" s="4" t="s">
        <v>5</v>
      </c>
      <c r="B6" s="4" t="s">
        <v>11</v>
      </c>
      <c r="C6" s="3">
        <v>150</v>
      </c>
      <c r="D6" s="3">
        <v>100</v>
      </c>
      <c r="E6" s="3">
        <v>150</v>
      </c>
      <c r="H6" s="8" t="s">
        <v>7</v>
      </c>
      <c r="I6" s="7">
        <v>300</v>
      </c>
      <c r="J6" s="7">
        <v>70</v>
      </c>
      <c r="K6" s="7"/>
      <c r="L6" s="7"/>
      <c r="M6" s="7">
        <v>20</v>
      </c>
      <c r="N6" s="7">
        <v>300</v>
      </c>
      <c r="O6" s="7">
        <f t="shared" si="0"/>
        <v>690</v>
      </c>
      <c r="Q6" s="10"/>
      <c r="R6" s="11"/>
    </row>
    <row r="7" spans="1:18" x14ac:dyDescent="0.3">
      <c r="A7" s="4" t="s">
        <v>6</v>
      </c>
      <c r="B7" s="4" t="s">
        <v>3</v>
      </c>
      <c r="C7" s="3">
        <v>800</v>
      </c>
      <c r="D7" s="3">
        <v>175</v>
      </c>
      <c r="E7" s="3">
        <v>140</v>
      </c>
      <c r="H7" s="8" t="s">
        <v>8</v>
      </c>
      <c r="I7" s="7">
        <v>285</v>
      </c>
      <c r="J7" s="7">
        <v>50</v>
      </c>
      <c r="K7" s="7">
        <v>560</v>
      </c>
      <c r="L7" s="7"/>
      <c r="M7" s="7">
        <v>75</v>
      </c>
      <c r="N7" s="7"/>
      <c r="O7" s="7">
        <f t="shared" si="0"/>
        <v>970</v>
      </c>
      <c r="Q7" s="10"/>
      <c r="R7" s="11"/>
    </row>
    <row r="8" spans="1:18" x14ac:dyDescent="0.3">
      <c r="A8" s="4" t="s">
        <v>6</v>
      </c>
      <c r="B8" s="4" t="s">
        <v>12</v>
      </c>
      <c r="C8" s="3">
        <v>300</v>
      </c>
      <c r="D8" s="3">
        <v>70</v>
      </c>
      <c r="E8" s="3">
        <v>80</v>
      </c>
      <c r="H8" s="8" t="s">
        <v>9</v>
      </c>
      <c r="I8" s="7">
        <v>390</v>
      </c>
      <c r="J8" s="7"/>
      <c r="K8" s="7">
        <v>410</v>
      </c>
      <c r="L8" s="7"/>
      <c r="M8" s="7"/>
      <c r="N8" s="7">
        <v>80</v>
      </c>
      <c r="O8" s="7">
        <f t="shared" si="0"/>
        <v>880</v>
      </c>
      <c r="Q8" s="10"/>
      <c r="R8" s="11"/>
    </row>
    <row r="9" spans="1:18" x14ac:dyDescent="0.3">
      <c r="A9" s="4" t="s">
        <v>6</v>
      </c>
      <c r="B9" s="4" t="s">
        <v>12</v>
      </c>
      <c r="C9" s="3">
        <v>300</v>
      </c>
      <c r="D9" s="3">
        <v>50</v>
      </c>
      <c r="E9" s="3">
        <v>40</v>
      </c>
      <c r="H9" s="8" t="s">
        <v>15</v>
      </c>
      <c r="I9" s="7"/>
      <c r="J9" s="7"/>
      <c r="K9" s="7"/>
      <c r="L9" s="7">
        <v>1</v>
      </c>
      <c r="M9" s="7">
        <v>20</v>
      </c>
      <c r="N9" s="7"/>
      <c r="O9" s="7">
        <f t="shared" si="0"/>
        <v>21</v>
      </c>
      <c r="Q9" s="10"/>
      <c r="R9" s="11"/>
    </row>
    <row r="10" spans="1:18" x14ac:dyDescent="0.3">
      <c r="A10" s="4" t="s">
        <v>6</v>
      </c>
      <c r="B10" s="4" t="s">
        <v>13</v>
      </c>
      <c r="C10" s="3">
        <v>500</v>
      </c>
      <c r="D10" s="3">
        <v>75</v>
      </c>
      <c r="E10" s="3">
        <v>90</v>
      </c>
      <c r="H10" s="8" t="s">
        <v>16</v>
      </c>
      <c r="I10" s="7">
        <f>SUM(I4:I9)</f>
        <v>1350</v>
      </c>
      <c r="J10" s="7">
        <f t="shared" ref="J10:O10" si="1">SUM(J4:J9)</f>
        <v>240</v>
      </c>
      <c r="K10" s="7">
        <f t="shared" si="1"/>
        <v>1530</v>
      </c>
      <c r="L10" s="7">
        <f t="shared" si="1"/>
        <v>1</v>
      </c>
      <c r="M10" s="7">
        <f t="shared" si="1"/>
        <v>190</v>
      </c>
      <c r="N10" s="7">
        <f t="shared" si="1"/>
        <v>700</v>
      </c>
      <c r="O10" s="7">
        <f t="shared" si="1"/>
        <v>4011</v>
      </c>
      <c r="Q10" s="7"/>
      <c r="R10" s="7"/>
    </row>
    <row r="11" spans="1:18" x14ac:dyDescent="0.3">
      <c r="A11" s="4" t="s">
        <v>6</v>
      </c>
      <c r="B11" s="4" t="s">
        <v>11</v>
      </c>
      <c r="C11" s="3">
        <v>150</v>
      </c>
      <c r="D11" s="3">
        <v>30</v>
      </c>
      <c r="E11" s="3">
        <v>30</v>
      </c>
      <c r="H11"/>
      <c r="I11"/>
      <c r="J11"/>
      <c r="K11"/>
      <c r="L11"/>
      <c r="M11"/>
      <c r="N11"/>
      <c r="O11"/>
      <c r="Q11"/>
      <c r="R11"/>
    </row>
    <row r="12" spans="1:18" x14ac:dyDescent="0.3">
      <c r="A12" s="4" t="s">
        <v>6</v>
      </c>
      <c r="B12" s="4" t="s">
        <v>11</v>
      </c>
      <c r="C12" s="3">
        <v>150</v>
      </c>
      <c r="D12" s="3">
        <v>190</v>
      </c>
      <c r="E12" s="3">
        <v>130</v>
      </c>
      <c r="H12"/>
      <c r="I12"/>
      <c r="J12"/>
      <c r="K12"/>
      <c r="L12"/>
      <c r="M12"/>
      <c r="N12"/>
      <c r="O12"/>
      <c r="Q12"/>
      <c r="R12"/>
    </row>
    <row r="13" spans="1:18" x14ac:dyDescent="0.3">
      <c r="A13" s="4" t="s">
        <v>7</v>
      </c>
      <c r="B13" s="4" t="s">
        <v>3</v>
      </c>
      <c r="C13" s="3">
        <v>800</v>
      </c>
      <c r="D13" s="3">
        <v>300</v>
      </c>
      <c r="E13" s="3">
        <v>120</v>
      </c>
      <c r="H13" s="6" t="s">
        <v>19</v>
      </c>
      <c r="I13"/>
      <c r="J13"/>
      <c r="K13"/>
      <c r="L13"/>
      <c r="M13"/>
      <c r="N13"/>
      <c r="O13"/>
      <c r="Q13"/>
      <c r="R13"/>
    </row>
    <row r="14" spans="1:18" x14ac:dyDescent="0.3">
      <c r="A14" s="4" t="s">
        <v>7</v>
      </c>
      <c r="B14" s="4" t="s">
        <v>12</v>
      </c>
      <c r="C14" s="3">
        <v>300</v>
      </c>
      <c r="D14" s="3">
        <v>70</v>
      </c>
      <c r="E14" s="3">
        <v>80</v>
      </c>
      <c r="H14"/>
      <c r="I14" s="5" t="s">
        <v>3</v>
      </c>
      <c r="J14" s="5" t="s">
        <v>12</v>
      </c>
      <c r="K14" s="5" t="s">
        <v>10</v>
      </c>
      <c r="L14" s="5" t="s">
        <v>17</v>
      </c>
      <c r="M14" s="5" t="s">
        <v>13</v>
      </c>
      <c r="N14" s="5" t="s">
        <v>11</v>
      </c>
      <c r="O14" s="5" t="s">
        <v>16</v>
      </c>
      <c r="Q14"/>
      <c r="R14"/>
    </row>
    <row r="15" spans="1:18" x14ac:dyDescent="0.3">
      <c r="A15" s="4" t="s">
        <v>7</v>
      </c>
      <c r="B15" s="4" t="s">
        <v>13</v>
      </c>
      <c r="C15" s="3">
        <v>500</v>
      </c>
      <c r="D15" s="3">
        <v>20</v>
      </c>
      <c r="E15" s="3">
        <v>20</v>
      </c>
      <c r="H15" s="5" t="s">
        <v>5</v>
      </c>
      <c r="I15">
        <f>SUMIFS($D$2:$D$31, $A$2:$A$31, $H15, $B$2:$B$31, I$14)</f>
        <v>200</v>
      </c>
      <c r="J15">
        <f t="shared" ref="J15:N21" si="2">SUMIFS($D$2:$D$31, $A$2:$A$31, $H15, $B$2:$B$31, J$14)</f>
        <v>0</v>
      </c>
      <c r="K15">
        <f t="shared" si="2"/>
        <v>560</v>
      </c>
      <c r="L15">
        <f t="shared" si="2"/>
        <v>0</v>
      </c>
      <c r="M15">
        <f t="shared" si="2"/>
        <v>0</v>
      </c>
      <c r="N15">
        <f t="shared" si="2"/>
        <v>100</v>
      </c>
      <c r="O15">
        <f>SUM(I15:N15)</f>
        <v>860</v>
      </c>
      <c r="Q15"/>
      <c r="R15"/>
    </row>
    <row r="16" spans="1:18" x14ac:dyDescent="0.3">
      <c r="A16" s="4" t="s">
        <v>7</v>
      </c>
      <c r="B16" s="4" t="s">
        <v>11</v>
      </c>
      <c r="C16" s="3">
        <v>150</v>
      </c>
      <c r="D16" s="3">
        <v>80</v>
      </c>
      <c r="E16" s="3">
        <v>70</v>
      </c>
      <c r="H16" s="5" t="s">
        <v>6</v>
      </c>
      <c r="I16">
        <f t="shared" ref="I16:I21" si="3">SUMIFS($D$2:$D$31, $A$2:$A$31, $H16, $B$2:$B$31, I$14)</f>
        <v>175</v>
      </c>
      <c r="J16">
        <f t="shared" si="2"/>
        <v>120</v>
      </c>
      <c r="K16">
        <f t="shared" si="2"/>
        <v>0</v>
      </c>
      <c r="L16">
        <f t="shared" si="2"/>
        <v>0</v>
      </c>
      <c r="M16">
        <f t="shared" si="2"/>
        <v>75</v>
      </c>
      <c r="N16">
        <f t="shared" si="2"/>
        <v>220</v>
      </c>
      <c r="O16">
        <f>SUM(I16:N16)</f>
        <v>590</v>
      </c>
      <c r="Q16"/>
      <c r="R16"/>
    </row>
    <row r="17" spans="1:18" x14ac:dyDescent="0.3">
      <c r="A17" s="4" t="s">
        <v>7</v>
      </c>
      <c r="B17" s="4" t="s">
        <v>11</v>
      </c>
      <c r="C17" s="3">
        <v>150</v>
      </c>
      <c r="D17" s="3">
        <v>30</v>
      </c>
      <c r="E17" s="3">
        <v>30</v>
      </c>
      <c r="H17" s="5" t="s">
        <v>7</v>
      </c>
      <c r="I17">
        <f t="shared" si="3"/>
        <v>300</v>
      </c>
      <c r="J17">
        <f t="shared" si="2"/>
        <v>70</v>
      </c>
      <c r="K17">
        <f t="shared" si="2"/>
        <v>0</v>
      </c>
      <c r="L17">
        <f t="shared" si="2"/>
        <v>0</v>
      </c>
      <c r="M17">
        <f t="shared" si="2"/>
        <v>20</v>
      </c>
      <c r="N17">
        <f t="shared" si="2"/>
        <v>300</v>
      </c>
      <c r="O17">
        <f>SUM(I17:N17)</f>
        <v>690</v>
      </c>
      <c r="Q17"/>
      <c r="R17"/>
    </row>
    <row r="18" spans="1:18" x14ac:dyDescent="0.3">
      <c r="A18" s="4" t="s">
        <v>7</v>
      </c>
      <c r="B18" s="4" t="s">
        <v>11</v>
      </c>
      <c r="C18" s="3">
        <v>150</v>
      </c>
      <c r="D18" s="3">
        <v>190</v>
      </c>
      <c r="E18" s="3">
        <v>130</v>
      </c>
      <c r="H18" s="5" t="s">
        <v>8</v>
      </c>
      <c r="I18">
        <f t="shared" si="3"/>
        <v>285</v>
      </c>
      <c r="J18">
        <f t="shared" si="2"/>
        <v>50</v>
      </c>
      <c r="K18">
        <f t="shared" si="2"/>
        <v>560</v>
      </c>
      <c r="L18">
        <f t="shared" si="2"/>
        <v>0</v>
      </c>
      <c r="M18">
        <f t="shared" si="2"/>
        <v>75</v>
      </c>
      <c r="N18">
        <f t="shared" si="2"/>
        <v>0</v>
      </c>
      <c r="O18">
        <f>SUM(I18:N18)</f>
        <v>970</v>
      </c>
      <c r="Q18"/>
      <c r="R18"/>
    </row>
    <row r="19" spans="1:18" x14ac:dyDescent="0.3">
      <c r="A19" s="4" t="s">
        <v>8</v>
      </c>
      <c r="B19" s="4" t="s">
        <v>3</v>
      </c>
      <c r="C19" s="3">
        <v>800</v>
      </c>
      <c r="D19" s="3">
        <v>175</v>
      </c>
      <c r="E19" s="3">
        <v>140</v>
      </c>
      <c r="H19" s="5" t="s">
        <v>9</v>
      </c>
      <c r="I19">
        <f t="shared" si="3"/>
        <v>390</v>
      </c>
      <c r="J19">
        <f t="shared" si="2"/>
        <v>0</v>
      </c>
      <c r="K19">
        <f t="shared" si="2"/>
        <v>410</v>
      </c>
      <c r="L19">
        <f t="shared" si="2"/>
        <v>0</v>
      </c>
      <c r="M19">
        <f t="shared" si="2"/>
        <v>0</v>
      </c>
      <c r="N19">
        <f t="shared" si="2"/>
        <v>80</v>
      </c>
      <c r="O19">
        <f>SUM(I19:N19)</f>
        <v>880</v>
      </c>
      <c r="Q19"/>
      <c r="R19"/>
    </row>
    <row r="20" spans="1:18" x14ac:dyDescent="0.3">
      <c r="A20" s="4" t="s">
        <v>8</v>
      </c>
      <c r="B20" s="4" t="s">
        <v>3</v>
      </c>
      <c r="C20" s="3">
        <v>800</v>
      </c>
      <c r="D20" s="3">
        <v>110</v>
      </c>
      <c r="E20" s="3">
        <v>50</v>
      </c>
      <c r="H20" s="5" t="s">
        <v>15</v>
      </c>
      <c r="I20">
        <f t="shared" si="3"/>
        <v>0</v>
      </c>
      <c r="J20">
        <f t="shared" si="2"/>
        <v>0</v>
      </c>
      <c r="K20">
        <f t="shared" si="2"/>
        <v>0</v>
      </c>
      <c r="L20">
        <f t="shared" si="2"/>
        <v>1</v>
      </c>
      <c r="M20">
        <f t="shared" si="2"/>
        <v>20</v>
      </c>
      <c r="N20">
        <f t="shared" si="2"/>
        <v>0</v>
      </c>
      <c r="O20">
        <f>SUM(I20:N20)</f>
        <v>21</v>
      </c>
      <c r="Q20"/>
      <c r="R20"/>
    </row>
    <row r="21" spans="1:18" x14ac:dyDescent="0.3">
      <c r="A21" s="4" t="s">
        <v>8</v>
      </c>
      <c r="B21" s="4" t="s">
        <v>12</v>
      </c>
      <c r="C21" s="3">
        <v>300</v>
      </c>
      <c r="D21" s="3">
        <v>50</v>
      </c>
      <c r="E21" s="3">
        <v>40</v>
      </c>
      <c r="H21" s="5" t="s">
        <v>16</v>
      </c>
      <c r="I21">
        <f>SUM(I15:I20)</f>
        <v>1350</v>
      </c>
      <c r="J21">
        <f>SUM(J15:J20)</f>
        <v>240</v>
      </c>
      <c r="K21">
        <f>SUM(K15:K20)</f>
        <v>1530</v>
      </c>
      <c r="L21">
        <f>SUM(L15:L20)</f>
        <v>1</v>
      </c>
      <c r="M21">
        <f>SUM(M15:M20)</f>
        <v>190</v>
      </c>
      <c r="N21">
        <f>SUM(N15:N20)</f>
        <v>700</v>
      </c>
      <c r="O21">
        <f>SUM(I21:N21)</f>
        <v>4011</v>
      </c>
      <c r="Q21"/>
      <c r="R21"/>
    </row>
    <row r="22" spans="1:18" x14ac:dyDescent="0.3">
      <c r="A22" s="4" t="s">
        <v>8</v>
      </c>
      <c r="B22" s="4" t="s">
        <v>10</v>
      </c>
      <c r="C22" s="3">
        <v>1000</v>
      </c>
      <c r="D22" s="3">
        <v>250</v>
      </c>
      <c r="E22" s="3">
        <v>100</v>
      </c>
      <c r="Q22"/>
      <c r="R22"/>
    </row>
    <row r="23" spans="1:18" x14ac:dyDescent="0.3">
      <c r="A23" s="4" t="s">
        <v>8</v>
      </c>
      <c r="B23" s="4" t="s">
        <v>10</v>
      </c>
      <c r="C23" s="3">
        <v>1000</v>
      </c>
      <c r="D23" s="3">
        <v>310</v>
      </c>
      <c r="E23" s="3">
        <v>110</v>
      </c>
      <c r="Q23"/>
      <c r="R23"/>
    </row>
    <row r="24" spans="1:18" x14ac:dyDescent="0.3">
      <c r="A24" s="4" t="s">
        <v>8</v>
      </c>
      <c r="B24" s="4" t="s">
        <v>13</v>
      </c>
      <c r="C24" s="3">
        <v>500</v>
      </c>
      <c r="D24" s="3">
        <v>75</v>
      </c>
      <c r="E24" s="3">
        <v>90</v>
      </c>
      <c r="Q24"/>
      <c r="R24"/>
    </row>
    <row r="25" spans="1:18" x14ac:dyDescent="0.3">
      <c r="A25" s="4" t="s">
        <v>9</v>
      </c>
      <c r="B25" s="4" t="s">
        <v>3</v>
      </c>
      <c r="C25" s="3">
        <v>800</v>
      </c>
      <c r="D25" s="3">
        <v>90</v>
      </c>
      <c r="E25" s="3">
        <v>60</v>
      </c>
      <c r="Q25"/>
      <c r="R25"/>
    </row>
    <row r="26" spans="1:18" x14ac:dyDescent="0.3">
      <c r="A26" s="4" t="s">
        <v>9</v>
      </c>
      <c r="B26" s="4" t="s">
        <v>3</v>
      </c>
      <c r="C26" s="3">
        <v>800</v>
      </c>
      <c r="D26" s="3">
        <v>300</v>
      </c>
      <c r="E26" s="3">
        <v>120</v>
      </c>
      <c r="Q26"/>
      <c r="R26"/>
    </row>
    <row r="27" spans="1:18" x14ac:dyDescent="0.3">
      <c r="A27" s="4" t="s">
        <v>9</v>
      </c>
      <c r="B27" s="4" t="s">
        <v>10</v>
      </c>
      <c r="C27" s="3">
        <v>1000</v>
      </c>
      <c r="D27" s="3">
        <v>100</v>
      </c>
      <c r="E27" s="3">
        <v>10</v>
      </c>
      <c r="Q27"/>
      <c r="R27"/>
    </row>
    <row r="28" spans="1:18" x14ac:dyDescent="0.3">
      <c r="A28" s="4" t="s">
        <v>9</v>
      </c>
      <c r="B28" s="4" t="s">
        <v>10</v>
      </c>
      <c r="C28" s="3">
        <v>1000</v>
      </c>
      <c r="D28" s="3">
        <v>310</v>
      </c>
      <c r="E28" s="3">
        <v>110</v>
      </c>
      <c r="Q28"/>
      <c r="R28"/>
    </row>
    <row r="29" spans="1:18" x14ac:dyDescent="0.3">
      <c r="A29" s="4" t="s">
        <v>9</v>
      </c>
      <c r="B29" s="4" t="s">
        <v>11</v>
      </c>
      <c r="C29" s="3">
        <v>150</v>
      </c>
      <c r="D29" s="3">
        <v>80</v>
      </c>
      <c r="E29" s="3">
        <v>70</v>
      </c>
      <c r="Q29"/>
      <c r="R29"/>
    </row>
    <row r="30" spans="1:18" x14ac:dyDescent="0.3">
      <c r="A30" s="4" t="s">
        <v>15</v>
      </c>
      <c r="B30" s="4" t="s">
        <v>17</v>
      </c>
      <c r="C30" s="3">
        <v>1</v>
      </c>
      <c r="D30" s="3">
        <v>1</v>
      </c>
      <c r="E30" s="3">
        <v>1</v>
      </c>
      <c r="Q30"/>
      <c r="R30"/>
    </row>
    <row r="31" spans="1:18" x14ac:dyDescent="0.3">
      <c r="A31" s="4" t="s">
        <v>15</v>
      </c>
      <c r="B31" s="4" t="s">
        <v>13</v>
      </c>
      <c r="C31" s="3">
        <v>500</v>
      </c>
      <c r="D31" s="3">
        <v>20</v>
      </c>
      <c r="E31" s="3">
        <v>20</v>
      </c>
      <c r="Q31"/>
      <c r="R31"/>
    </row>
    <row r="32" spans="1:18" x14ac:dyDescent="0.3">
      <c r="Q32"/>
      <c r="R32"/>
    </row>
    <row r="33" spans="17:18" x14ac:dyDescent="0.3">
      <c r="Q33"/>
      <c r="R33"/>
    </row>
  </sheetData>
  <sortState xmlns:xlrd2="http://schemas.microsoft.com/office/spreadsheetml/2017/richdata2" ref="A2:E31">
    <sortCondition ref="A2:A31"/>
    <sortCondition ref="B2:B31"/>
  </sortState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5B138-F99A-4642-8BBE-75D3493E33B9}">
  <dimension ref="A1:B10"/>
  <sheetViews>
    <sheetView tabSelected="1" workbookViewId="0">
      <selection activeCell="D21" sqref="D21"/>
    </sheetView>
  </sheetViews>
  <sheetFormatPr defaultRowHeight="16.5" x14ac:dyDescent="0.3"/>
  <cols>
    <col min="1" max="1" width="11.875" bestFit="1" customWidth="1"/>
    <col min="2" max="2" width="15.25" bestFit="1" customWidth="1"/>
  </cols>
  <sheetData>
    <row r="1" spans="1:2" x14ac:dyDescent="0.3">
      <c r="A1" s="12" t="s">
        <v>20</v>
      </c>
      <c r="B1" t="s">
        <v>27</v>
      </c>
    </row>
    <row r="3" spans="1:2" x14ac:dyDescent="0.3">
      <c r="A3" s="12" t="s">
        <v>24</v>
      </c>
      <c r="B3" t="s">
        <v>28</v>
      </c>
    </row>
    <row r="4" spans="1:2" x14ac:dyDescent="0.3">
      <c r="A4" s="13" t="s">
        <v>5</v>
      </c>
      <c r="B4" s="14">
        <v>172</v>
      </c>
    </row>
    <row r="5" spans="1:2" x14ac:dyDescent="0.3">
      <c r="A5" s="13" t="s">
        <v>6</v>
      </c>
      <c r="B5" s="14">
        <v>98.333333333333329</v>
      </c>
    </row>
    <row r="6" spans="1:2" x14ac:dyDescent="0.3">
      <c r="A6" s="13" t="s">
        <v>7</v>
      </c>
      <c r="B6" s="14">
        <v>115</v>
      </c>
    </row>
    <row r="7" spans="1:2" x14ac:dyDescent="0.3">
      <c r="A7" s="13" t="s">
        <v>8</v>
      </c>
      <c r="B7" s="14">
        <v>161.66666666666666</v>
      </c>
    </row>
    <row r="8" spans="1:2" x14ac:dyDescent="0.3">
      <c r="A8" s="13" t="s">
        <v>9</v>
      </c>
      <c r="B8" s="14">
        <v>176</v>
      </c>
    </row>
    <row r="9" spans="1:2" x14ac:dyDescent="0.3">
      <c r="A9" s="13" t="s">
        <v>15</v>
      </c>
      <c r="B9" s="14">
        <v>10.5</v>
      </c>
    </row>
    <row r="10" spans="1:2" x14ac:dyDescent="0.3">
      <c r="A10" s="13" t="s">
        <v>16</v>
      </c>
      <c r="B10" s="14">
        <v>133.69999999999999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32"/>
  <sheetViews>
    <sheetView workbookViewId="0">
      <selection activeCell="C11" sqref="C11"/>
    </sheetView>
  </sheetViews>
  <sheetFormatPr defaultRowHeight="16.5" x14ac:dyDescent="0.3"/>
  <cols>
    <col min="7" max="7" width="15.25" bestFit="1" customWidth="1"/>
    <col min="8" max="8" width="11.875" bestFit="1" customWidth="1"/>
    <col min="9" max="9" width="11.25" bestFit="1" customWidth="1"/>
    <col min="10" max="11" width="7.375" bestFit="1" customWidth="1"/>
    <col min="12" max="12" width="11.25" bestFit="1" customWidth="1"/>
    <col min="13" max="14" width="7.375" bestFit="1" customWidth="1"/>
  </cols>
  <sheetData>
    <row r="1" spans="1:14" x14ac:dyDescent="0.3">
      <c r="A1" s="2" t="s">
        <v>0</v>
      </c>
      <c r="B1" s="2" t="s">
        <v>20</v>
      </c>
      <c r="C1" s="2" t="s">
        <v>21</v>
      </c>
      <c r="D1" s="2" t="s">
        <v>22</v>
      </c>
      <c r="E1" s="2" t="s">
        <v>23</v>
      </c>
    </row>
    <row r="2" spans="1:14" x14ac:dyDescent="0.3">
      <c r="A2" s="4" t="s">
        <v>9</v>
      </c>
      <c r="B2" s="4" t="s">
        <v>10</v>
      </c>
      <c r="C2" s="3">
        <v>1000</v>
      </c>
      <c r="D2" s="3">
        <v>100</v>
      </c>
      <c r="E2" s="3">
        <v>10</v>
      </c>
      <c r="G2" s="12" t="s">
        <v>26</v>
      </c>
      <c r="H2" s="12" t="s">
        <v>25</v>
      </c>
    </row>
    <row r="3" spans="1:14" x14ac:dyDescent="0.3">
      <c r="A3" s="4" t="s">
        <v>15</v>
      </c>
      <c r="B3" s="4" t="s">
        <v>17</v>
      </c>
      <c r="C3" s="3">
        <v>1</v>
      </c>
      <c r="D3" s="3">
        <v>1</v>
      </c>
      <c r="E3" s="3">
        <v>1</v>
      </c>
      <c r="G3" s="12" t="s">
        <v>24</v>
      </c>
      <c r="H3" t="s">
        <v>3</v>
      </c>
      <c r="I3" t="s">
        <v>12</v>
      </c>
      <c r="J3" t="s">
        <v>10</v>
      </c>
      <c r="K3" t="s">
        <v>17</v>
      </c>
      <c r="L3" t="s">
        <v>13</v>
      </c>
      <c r="M3" t="s">
        <v>11</v>
      </c>
      <c r="N3" t="s">
        <v>16</v>
      </c>
    </row>
    <row r="4" spans="1:14" x14ac:dyDescent="0.3">
      <c r="A4" s="4" t="s">
        <v>7</v>
      </c>
      <c r="B4" s="4" t="s">
        <v>13</v>
      </c>
      <c r="C4" s="3">
        <v>500</v>
      </c>
      <c r="D4" s="3">
        <v>20</v>
      </c>
      <c r="E4" s="3">
        <v>20</v>
      </c>
      <c r="G4" s="13" t="s">
        <v>5</v>
      </c>
      <c r="H4" s="14">
        <v>200</v>
      </c>
      <c r="I4" s="14"/>
      <c r="J4" s="14">
        <v>560</v>
      </c>
      <c r="K4" s="14"/>
      <c r="L4" s="14"/>
      <c r="M4" s="14">
        <v>100</v>
      </c>
      <c r="N4" s="14">
        <v>860</v>
      </c>
    </row>
    <row r="5" spans="1:14" x14ac:dyDescent="0.3">
      <c r="A5" s="4" t="s">
        <v>6</v>
      </c>
      <c r="B5" s="4" t="s">
        <v>11</v>
      </c>
      <c r="C5" s="3">
        <v>150</v>
      </c>
      <c r="D5" s="3">
        <v>30</v>
      </c>
      <c r="E5" s="3">
        <v>30</v>
      </c>
      <c r="G5" s="13" t="s">
        <v>6</v>
      </c>
      <c r="H5" s="14">
        <v>175</v>
      </c>
      <c r="I5" s="14">
        <v>120</v>
      </c>
      <c r="J5" s="14"/>
      <c r="K5" s="14"/>
      <c r="L5" s="14">
        <v>75</v>
      </c>
      <c r="M5" s="14">
        <v>220</v>
      </c>
      <c r="N5" s="14">
        <v>590</v>
      </c>
    </row>
    <row r="6" spans="1:14" x14ac:dyDescent="0.3">
      <c r="A6" s="4" t="s">
        <v>8</v>
      </c>
      <c r="B6" s="4" t="s">
        <v>12</v>
      </c>
      <c r="C6" s="3">
        <v>300</v>
      </c>
      <c r="D6" s="3">
        <v>50</v>
      </c>
      <c r="E6" s="3">
        <v>40</v>
      </c>
      <c r="G6" s="13" t="s">
        <v>7</v>
      </c>
      <c r="H6" s="14">
        <v>300</v>
      </c>
      <c r="I6" s="14">
        <v>70</v>
      </c>
      <c r="J6" s="14"/>
      <c r="K6" s="14"/>
      <c r="L6" s="14">
        <v>20</v>
      </c>
      <c r="M6" s="14">
        <v>300</v>
      </c>
      <c r="N6" s="14">
        <v>690</v>
      </c>
    </row>
    <row r="7" spans="1:14" x14ac:dyDescent="0.3">
      <c r="A7" s="4" t="s">
        <v>5</v>
      </c>
      <c r="B7" s="4" t="s">
        <v>3</v>
      </c>
      <c r="C7" s="3">
        <v>800</v>
      </c>
      <c r="D7" s="3">
        <v>110</v>
      </c>
      <c r="E7" s="3">
        <v>50</v>
      </c>
      <c r="G7" s="13" t="s">
        <v>8</v>
      </c>
      <c r="H7" s="14">
        <v>285</v>
      </c>
      <c r="I7" s="14">
        <v>50</v>
      </c>
      <c r="J7" s="14">
        <v>560</v>
      </c>
      <c r="K7" s="14"/>
      <c r="L7" s="14">
        <v>75</v>
      </c>
      <c r="M7" s="14"/>
      <c r="N7" s="14">
        <v>970</v>
      </c>
    </row>
    <row r="8" spans="1:14" x14ac:dyDescent="0.3">
      <c r="A8" s="4" t="s">
        <v>9</v>
      </c>
      <c r="B8" s="4" t="s">
        <v>3</v>
      </c>
      <c r="C8" s="3">
        <v>800</v>
      </c>
      <c r="D8" s="3">
        <v>90</v>
      </c>
      <c r="E8" s="3">
        <v>60</v>
      </c>
      <c r="G8" s="13" t="s">
        <v>9</v>
      </c>
      <c r="H8" s="14">
        <v>390</v>
      </c>
      <c r="I8" s="14"/>
      <c r="J8" s="14">
        <v>410</v>
      </c>
      <c r="K8" s="14"/>
      <c r="L8" s="14"/>
      <c r="M8" s="14">
        <v>80</v>
      </c>
      <c r="N8" s="14">
        <v>880</v>
      </c>
    </row>
    <row r="9" spans="1:14" x14ac:dyDescent="0.3">
      <c r="A9" s="4" t="s">
        <v>7</v>
      </c>
      <c r="B9" s="4" t="s">
        <v>11</v>
      </c>
      <c r="C9" s="3">
        <v>150</v>
      </c>
      <c r="D9" s="3">
        <v>80</v>
      </c>
      <c r="E9" s="3">
        <v>70</v>
      </c>
      <c r="G9" s="13" t="s">
        <v>15</v>
      </c>
      <c r="H9" s="14"/>
      <c r="I9" s="14"/>
      <c r="J9" s="14"/>
      <c r="K9" s="14">
        <v>1</v>
      </c>
      <c r="L9" s="14">
        <v>20</v>
      </c>
      <c r="M9" s="14"/>
      <c r="N9" s="14">
        <v>21</v>
      </c>
    </row>
    <row r="10" spans="1:14" x14ac:dyDescent="0.3">
      <c r="A10" s="4" t="s">
        <v>6</v>
      </c>
      <c r="B10" s="4" t="s">
        <v>12</v>
      </c>
      <c r="C10" s="3">
        <v>300</v>
      </c>
      <c r="D10" s="3">
        <v>70</v>
      </c>
      <c r="E10" s="3">
        <v>80</v>
      </c>
      <c r="G10" s="13" t="s">
        <v>16</v>
      </c>
      <c r="H10" s="14">
        <v>1350</v>
      </c>
      <c r="I10" s="14">
        <v>240</v>
      </c>
      <c r="J10" s="14">
        <v>1530</v>
      </c>
      <c r="K10" s="14">
        <v>1</v>
      </c>
      <c r="L10" s="14">
        <v>190</v>
      </c>
      <c r="M10" s="14">
        <v>700</v>
      </c>
      <c r="N10" s="14">
        <v>4011</v>
      </c>
    </row>
    <row r="11" spans="1:14" x14ac:dyDescent="0.3">
      <c r="A11" s="4" t="s">
        <v>8</v>
      </c>
      <c r="B11" s="4" t="s">
        <v>13</v>
      </c>
      <c r="C11" s="3">
        <v>500</v>
      </c>
      <c r="D11" s="3">
        <v>75</v>
      </c>
      <c r="E11" s="3">
        <v>90</v>
      </c>
    </row>
    <row r="12" spans="1:14" x14ac:dyDescent="0.3">
      <c r="A12" s="4" t="s">
        <v>5</v>
      </c>
      <c r="B12" s="4" t="s">
        <v>10</v>
      </c>
      <c r="C12" s="3">
        <v>1000</v>
      </c>
      <c r="D12" s="3">
        <v>250</v>
      </c>
      <c r="E12" s="3">
        <v>100</v>
      </c>
    </row>
    <row r="13" spans="1:14" x14ac:dyDescent="0.3">
      <c r="A13" s="4" t="s">
        <v>9</v>
      </c>
      <c r="B13" s="4" t="s">
        <v>10</v>
      </c>
      <c r="C13" s="3">
        <v>1000</v>
      </c>
      <c r="D13" s="3">
        <v>310</v>
      </c>
      <c r="E13" s="3">
        <v>110</v>
      </c>
    </row>
    <row r="14" spans="1:14" x14ac:dyDescent="0.3">
      <c r="A14" s="4" t="s">
        <v>7</v>
      </c>
      <c r="B14" s="4" t="s">
        <v>3</v>
      </c>
      <c r="C14" s="3">
        <v>800</v>
      </c>
      <c r="D14" s="3">
        <v>300</v>
      </c>
      <c r="E14" s="3">
        <v>120</v>
      </c>
    </row>
    <row r="15" spans="1:14" x14ac:dyDescent="0.3">
      <c r="A15" s="4" t="s">
        <v>6</v>
      </c>
      <c r="B15" s="4" t="s">
        <v>11</v>
      </c>
      <c r="C15" s="3">
        <v>150</v>
      </c>
      <c r="D15" s="3">
        <v>190</v>
      </c>
      <c r="E15" s="3">
        <v>130</v>
      </c>
    </row>
    <row r="16" spans="1:14" x14ac:dyDescent="0.3">
      <c r="A16" s="4" t="s">
        <v>8</v>
      </c>
      <c r="B16" s="4" t="s">
        <v>3</v>
      </c>
      <c r="C16" s="3">
        <v>800</v>
      </c>
      <c r="D16" s="3">
        <v>175</v>
      </c>
      <c r="E16" s="3">
        <v>140</v>
      </c>
    </row>
    <row r="17" spans="1:5" x14ac:dyDescent="0.3">
      <c r="A17" s="4" t="s">
        <v>5</v>
      </c>
      <c r="B17" s="4" t="s">
        <v>11</v>
      </c>
      <c r="C17" s="3">
        <v>150</v>
      </c>
      <c r="D17" s="3">
        <v>100</v>
      </c>
      <c r="E17" s="3">
        <v>150</v>
      </c>
    </row>
    <row r="18" spans="1:5" x14ac:dyDescent="0.3">
      <c r="A18" s="4" t="s">
        <v>15</v>
      </c>
      <c r="B18" s="4" t="s">
        <v>13</v>
      </c>
      <c r="C18" s="3">
        <v>500</v>
      </c>
      <c r="D18" s="3">
        <v>20</v>
      </c>
      <c r="E18" s="3">
        <v>20</v>
      </c>
    </row>
    <row r="19" spans="1:5" x14ac:dyDescent="0.3">
      <c r="A19" s="4" t="s">
        <v>7</v>
      </c>
      <c r="B19" s="4" t="s">
        <v>11</v>
      </c>
      <c r="C19" s="3">
        <v>150</v>
      </c>
      <c r="D19" s="3">
        <v>30</v>
      </c>
      <c r="E19" s="3">
        <v>30</v>
      </c>
    </row>
    <row r="20" spans="1:5" x14ac:dyDescent="0.3">
      <c r="A20" s="4" t="s">
        <v>6</v>
      </c>
      <c r="B20" s="4" t="s">
        <v>12</v>
      </c>
      <c r="C20" s="3">
        <v>300</v>
      </c>
      <c r="D20" s="3">
        <v>50</v>
      </c>
      <c r="E20" s="3">
        <v>40</v>
      </c>
    </row>
    <row r="21" spans="1:5" x14ac:dyDescent="0.3">
      <c r="A21" s="4" t="s">
        <v>8</v>
      </c>
      <c r="B21" s="4" t="s">
        <v>3</v>
      </c>
      <c r="C21" s="3">
        <v>800</v>
      </c>
      <c r="D21" s="3">
        <v>110</v>
      </c>
      <c r="E21" s="3">
        <v>50</v>
      </c>
    </row>
    <row r="22" spans="1:5" x14ac:dyDescent="0.3">
      <c r="A22" s="4" t="s">
        <v>5</v>
      </c>
      <c r="B22" s="4" t="s">
        <v>3</v>
      </c>
      <c r="C22" s="3">
        <v>800</v>
      </c>
      <c r="D22" s="3">
        <v>90</v>
      </c>
      <c r="E22" s="3">
        <v>60</v>
      </c>
    </row>
    <row r="23" spans="1:5" x14ac:dyDescent="0.3">
      <c r="A23" s="4" t="s">
        <v>9</v>
      </c>
      <c r="B23" s="4" t="s">
        <v>11</v>
      </c>
      <c r="C23" s="3">
        <v>150</v>
      </c>
      <c r="D23" s="3">
        <v>80</v>
      </c>
      <c r="E23" s="3">
        <v>70</v>
      </c>
    </row>
    <row r="24" spans="1:5" x14ac:dyDescent="0.3">
      <c r="A24" s="4" t="s">
        <v>7</v>
      </c>
      <c r="B24" s="4" t="s">
        <v>12</v>
      </c>
      <c r="C24" s="3">
        <v>300</v>
      </c>
      <c r="D24" s="3">
        <v>70</v>
      </c>
      <c r="E24" s="3">
        <v>80</v>
      </c>
    </row>
    <row r="25" spans="1:5" x14ac:dyDescent="0.3">
      <c r="A25" s="4" t="s">
        <v>6</v>
      </c>
      <c r="B25" s="4" t="s">
        <v>13</v>
      </c>
      <c r="C25" s="3">
        <v>500</v>
      </c>
      <c r="D25" s="3">
        <v>75</v>
      </c>
      <c r="E25" s="3">
        <v>90</v>
      </c>
    </row>
    <row r="26" spans="1:5" x14ac:dyDescent="0.3">
      <c r="A26" s="4" t="s">
        <v>8</v>
      </c>
      <c r="B26" s="4" t="s">
        <v>10</v>
      </c>
      <c r="C26" s="3">
        <v>1000</v>
      </c>
      <c r="D26" s="3">
        <v>250</v>
      </c>
      <c r="E26" s="3">
        <v>100</v>
      </c>
    </row>
    <row r="27" spans="1:5" x14ac:dyDescent="0.3">
      <c r="A27" s="4" t="s">
        <v>5</v>
      </c>
      <c r="B27" s="4" t="s">
        <v>10</v>
      </c>
      <c r="C27" s="3">
        <v>1000</v>
      </c>
      <c r="D27" s="3">
        <v>310</v>
      </c>
      <c r="E27" s="3">
        <v>110</v>
      </c>
    </row>
    <row r="28" spans="1:5" x14ac:dyDescent="0.3">
      <c r="A28" s="4" t="s">
        <v>9</v>
      </c>
      <c r="B28" s="4" t="s">
        <v>3</v>
      </c>
      <c r="C28" s="3">
        <v>800</v>
      </c>
      <c r="D28" s="3">
        <v>300</v>
      </c>
      <c r="E28" s="3">
        <v>120</v>
      </c>
    </row>
    <row r="29" spans="1:5" x14ac:dyDescent="0.3">
      <c r="A29" s="4" t="s">
        <v>7</v>
      </c>
      <c r="B29" s="4" t="s">
        <v>11</v>
      </c>
      <c r="C29" s="3">
        <v>150</v>
      </c>
      <c r="D29" s="3">
        <v>190</v>
      </c>
      <c r="E29" s="3">
        <v>130</v>
      </c>
    </row>
    <row r="30" spans="1:5" x14ac:dyDescent="0.3">
      <c r="A30" s="4" t="s">
        <v>6</v>
      </c>
      <c r="B30" s="4" t="s">
        <v>3</v>
      </c>
      <c r="C30" s="3">
        <v>800</v>
      </c>
      <c r="D30" s="3">
        <v>175</v>
      </c>
      <c r="E30" s="3">
        <v>140</v>
      </c>
    </row>
    <row r="31" spans="1:5" x14ac:dyDescent="0.3">
      <c r="A31" s="4" t="s">
        <v>8</v>
      </c>
      <c r="B31" s="4" t="s">
        <v>10</v>
      </c>
      <c r="C31" s="3">
        <v>1000</v>
      </c>
      <c r="D31" s="3">
        <v>310</v>
      </c>
      <c r="E31" s="3">
        <v>110</v>
      </c>
    </row>
    <row r="32" spans="1:5" x14ac:dyDescent="0.3">
      <c r="A32" s="1"/>
      <c r="B32" s="1"/>
      <c r="C32" s="1"/>
      <c r="D32" s="1"/>
      <c r="E32" s="1"/>
    </row>
  </sheetData>
  <sortState xmlns:xlrd2="http://schemas.microsoft.com/office/spreadsheetml/2017/richdata2" ref="A2:E31">
    <sortCondition ref="A2:A31"/>
    <sortCondition ref="B2:B31"/>
  </sortState>
  <phoneticPr fontId="1" type="noConversion"/>
  <pageMargins left="0.7" right="0.7" top="0.75" bottom="0.75" header="0.3" footer="0.3"/>
  <pageSetup paperSize="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원본 데이터</vt:lpstr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2015-07-13T09:41:30Z</dcterms:created>
  <dcterms:modified xsi:type="dcterms:W3CDTF">2026-04-08T11:48:00Z</dcterms:modified>
</cp:coreProperties>
</file>