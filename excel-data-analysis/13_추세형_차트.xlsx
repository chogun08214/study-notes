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13주차\C9\"/>
    </mc:Choice>
  </mc:AlternateContent>
  <xr:revisionPtr revIDLastSave="0" documentId="13_ncr:1_{EC4099B2-6955-493B-8CB1-81165053CE17}" xr6:coauthVersionLast="47" xr6:coauthVersionMax="47" xr10:uidLastSave="{00000000-0000-0000-0000-000000000000}"/>
  <bookViews>
    <workbookView xWindow="0" yWindow="60" windowWidth="13785" windowHeight="15405" activeTab="2" xr2:uid="{00000000-000D-0000-FFFF-FFFF00000000}"/>
  </bookViews>
  <sheets>
    <sheet name="Fig1" sheetId="23" r:id="rId1"/>
    <sheet name="Fig2" sheetId="6" r:id="rId2"/>
    <sheet name="Fig3" sheetId="8" r:id="rId3"/>
    <sheet name="Fig4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0" l="1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B16" i="8" l="1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</calcChain>
</file>

<file path=xl/sharedStrings.xml><?xml version="1.0" encoding="utf-8"?>
<sst xmlns="http://schemas.openxmlformats.org/spreadsheetml/2006/main" count="4" uniqueCount="3">
  <si>
    <t>판매액</t>
    <phoneticPr fontId="4" type="noConversion"/>
  </si>
  <si>
    <t>가격</t>
    <phoneticPr fontId="4" type="noConversion"/>
  </si>
  <si>
    <t>매출액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</si>
</sst>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;@"/>
  </numFmts>
  <fonts count="7" x14ac:knownFonts="1">
    <font>
      <sz val="10"/>
      <name val="Times New Roman"/>
    </font>
    <font>
      <sz val="11"/>
      <color theme="1"/>
      <name val="맑은 고딕"/>
      <family val="2"/>
      <scheme val="minor"/>
    </font>
    <font>
      <sz val="10"/>
      <name val="Times New Roman"/>
      <family val="1"/>
    </font>
    <font>
      <u/>
      <sz val="10"/>
      <color theme="10"/>
      <name val="Times New Roman"/>
      <family val="1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4">
    <xf numFmtId="0" fontId="0" fillId="0" borderId="0" xfId="0"/>
    <xf numFmtId="176" fontId="0" fillId="0" borderId="0" xfId="0" applyNumberFormat="1"/>
    <xf numFmtId="0" fontId="5" fillId="0" borderId="0" xfId="0" applyFont="1"/>
    <xf numFmtId="0" fontId="6" fillId="0" borderId="0" xfId="0" applyFont="1"/>
  </cellXfs>
  <cellStyles count="5">
    <cellStyle name="Hyperlink 2" xfId="3" xr:uid="{00000000-0005-0000-0000-000000000000}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'Fig1'!$B$1</c:f>
              <c:strCache>
                <c:ptCount val="1"/>
                <c:pt idx="0">
                  <c:v>판매액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'Fig1'!$A$2:$A$10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'Fig1'!$B$2:$B$10</c:f>
              <c:numCache>
                <c:formatCode>General</c:formatCode>
                <c:ptCount val="9"/>
                <c:pt idx="0">
                  <c:v>3987</c:v>
                </c:pt>
                <c:pt idx="1">
                  <c:v>4465</c:v>
                </c:pt>
                <c:pt idx="2">
                  <c:v>4733</c:v>
                </c:pt>
                <c:pt idx="3">
                  <c:v>5254</c:v>
                </c:pt>
                <c:pt idx="4">
                  <c:v>5832</c:v>
                </c:pt>
                <c:pt idx="5">
                  <c:v>6182</c:v>
                </c:pt>
                <c:pt idx="6">
                  <c:v>5378</c:v>
                </c:pt>
                <c:pt idx="7">
                  <c:v>5324</c:v>
                </c:pt>
                <c:pt idx="8">
                  <c:v>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0-4707-8E20-6F68065181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4684000"/>
        <c:axId val="374684960"/>
      </c:barChart>
      <c:catAx>
        <c:axId val="3746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4684960"/>
        <c:crosses val="autoZero"/>
        <c:auto val="1"/>
        <c:lblAlgn val="ctr"/>
        <c:lblOffset val="100"/>
        <c:noMultiLvlLbl val="0"/>
      </c:catAx>
      <c:valAx>
        <c:axId val="37468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46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'Fig1'!$B$1</c:f>
              <c:strCache>
                <c:ptCount val="1"/>
                <c:pt idx="0">
                  <c:v>판매액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'Fig1'!$A$2:$A$10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'Fig1'!$B$2:$B$10</c:f>
              <c:numCache>
                <c:formatCode>General</c:formatCode>
                <c:ptCount val="9"/>
                <c:pt idx="0">
                  <c:v>3987</c:v>
                </c:pt>
                <c:pt idx="1">
                  <c:v>4465</c:v>
                </c:pt>
                <c:pt idx="2">
                  <c:v>4733</c:v>
                </c:pt>
                <c:pt idx="3">
                  <c:v>5254</c:v>
                </c:pt>
                <c:pt idx="4">
                  <c:v>5832</c:v>
                </c:pt>
                <c:pt idx="5">
                  <c:v>6182</c:v>
                </c:pt>
                <c:pt idx="6">
                  <c:v>5378</c:v>
                </c:pt>
                <c:pt idx="7">
                  <c:v>5324</c:v>
                </c:pt>
                <c:pt idx="8">
                  <c:v>4525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9-4C4E-A34A-B89B661D39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9967216"/>
        <c:axId val="309963856"/>
      </c:lineChart>
      <c:catAx>
        <c:axId val="30996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9963856"/>
        <c:crosses val="autoZero"/>
        <c:auto val="1"/>
        <c:lblAlgn val="ctr"/>
        <c:lblOffset val="100"/>
        <c:noMultiLvlLbl val="0"/>
      </c:catAx>
      <c:valAx>
        <c:axId val="3099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996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'Fig2'!$C$1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'Fig2'!$A$2:$A$39</c:f>
              <c:numCache>
                <c:formatCode>m/d/yy;@</c:formatCode>
                <c:ptCount val="38"/>
                <c:pt idx="0">
                  <c:v>40910</c:v>
                </c:pt>
                <c:pt idx="1">
                  <c:v>40931</c:v>
                </c:pt>
                <c:pt idx="2">
                  <c:v>40978</c:v>
                </c:pt>
                <c:pt idx="3">
                  <c:v>41021</c:v>
                </c:pt>
                <c:pt idx="4">
                  <c:v>41068</c:v>
                </c:pt>
                <c:pt idx="5">
                  <c:v>41111</c:v>
                </c:pt>
                <c:pt idx="6">
                  <c:v>41124</c:v>
                </c:pt>
                <c:pt idx="7">
                  <c:v>41153</c:v>
                </c:pt>
                <c:pt idx="8">
                  <c:v>41235</c:v>
                </c:pt>
                <c:pt idx="9">
                  <c:v>41278</c:v>
                </c:pt>
                <c:pt idx="10">
                  <c:v>41305</c:v>
                </c:pt>
                <c:pt idx="11">
                  <c:v>41343</c:v>
                </c:pt>
                <c:pt idx="12">
                  <c:v>41386</c:v>
                </c:pt>
                <c:pt idx="13">
                  <c:v>41428</c:v>
                </c:pt>
                <c:pt idx="14">
                  <c:v>41512</c:v>
                </c:pt>
                <c:pt idx="15">
                  <c:v>41601</c:v>
                </c:pt>
                <c:pt idx="16">
                  <c:v>41616</c:v>
                </c:pt>
                <c:pt idx="17">
                  <c:v>41638</c:v>
                </c:pt>
                <c:pt idx="18">
                  <c:v>41649</c:v>
                </c:pt>
                <c:pt idx="19">
                  <c:v>41655</c:v>
                </c:pt>
                <c:pt idx="20">
                  <c:v>41692</c:v>
                </c:pt>
                <c:pt idx="21">
                  <c:v>41713</c:v>
                </c:pt>
                <c:pt idx="22">
                  <c:v>41734</c:v>
                </c:pt>
                <c:pt idx="23">
                  <c:v>41747</c:v>
                </c:pt>
                <c:pt idx="24">
                  <c:v>41778</c:v>
                </c:pt>
                <c:pt idx="25">
                  <c:v>41791</c:v>
                </c:pt>
                <c:pt idx="26">
                  <c:v>41826</c:v>
                </c:pt>
                <c:pt idx="27">
                  <c:v>41908</c:v>
                </c:pt>
                <c:pt idx="28">
                  <c:v>41939</c:v>
                </c:pt>
                <c:pt idx="29">
                  <c:v>41984</c:v>
                </c:pt>
                <c:pt idx="30">
                  <c:v>42026</c:v>
                </c:pt>
                <c:pt idx="31">
                  <c:v>42076</c:v>
                </c:pt>
                <c:pt idx="32">
                  <c:v>42111</c:v>
                </c:pt>
                <c:pt idx="33">
                  <c:v>42174</c:v>
                </c:pt>
                <c:pt idx="34">
                  <c:v>42217</c:v>
                </c:pt>
                <c:pt idx="35">
                  <c:v>42252</c:v>
                </c:pt>
                <c:pt idx="36">
                  <c:v>42293</c:v>
                </c:pt>
                <c:pt idx="37">
                  <c:v>42336</c:v>
                </c:pt>
              </c:numCache>
            </c:numRef>
          </c:cat>
          <c:val>
            <c:numRef>
              <c:f>'Fig2'!$C$2:$C$39</c:f>
              <c:numCache>
                <c:formatCode>General</c:formatCode>
                <c:ptCount val="38"/>
                <c:pt idx="13">
                  <c:v>9.73</c:v>
                </c:pt>
                <c:pt idx="14">
                  <c:v>10.630003970117629</c:v>
                </c:pt>
                <c:pt idx="15">
                  <c:v>10.69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F-4696-BCD9-65704D29E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08016"/>
        <c:axId val="741208496"/>
      </c:areaChart>
      <c:lineChart>
        <c:grouping val="standard"/>
        <c:varyColors val="0"/>
        <c:ser>
          <c:idx val="0"/>
          <c:order val="0"/>
          <c:tx>
            <c:strRef>
              <c:f>'Fig2'!$B$1</c:f>
              <c:strCache>
                <c:ptCount val="1"/>
                <c:pt idx="0">
                  <c:v>가격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'Fig2'!$A$2:$A$39</c:f>
              <c:numCache>
                <c:formatCode>m/d/yy;@</c:formatCode>
                <c:ptCount val="38"/>
                <c:pt idx="0">
                  <c:v>40910</c:v>
                </c:pt>
                <c:pt idx="1">
                  <c:v>40931</c:v>
                </c:pt>
                <c:pt idx="2">
                  <c:v>40978</c:v>
                </c:pt>
                <c:pt idx="3">
                  <c:v>41021</c:v>
                </c:pt>
                <c:pt idx="4">
                  <c:v>41068</c:v>
                </c:pt>
                <c:pt idx="5">
                  <c:v>41111</c:v>
                </c:pt>
                <c:pt idx="6">
                  <c:v>41124</c:v>
                </c:pt>
                <c:pt idx="7">
                  <c:v>41153</c:v>
                </c:pt>
                <c:pt idx="8">
                  <c:v>41235</c:v>
                </c:pt>
                <c:pt idx="9">
                  <c:v>41278</c:v>
                </c:pt>
                <c:pt idx="10">
                  <c:v>41305</c:v>
                </c:pt>
                <c:pt idx="11">
                  <c:v>41343</c:v>
                </c:pt>
                <c:pt idx="12">
                  <c:v>41386</c:v>
                </c:pt>
                <c:pt idx="13">
                  <c:v>41428</c:v>
                </c:pt>
                <c:pt idx="14">
                  <c:v>41512</c:v>
                </c:pt>
                <c:pt idx="15">
                  <c:v>41601</c:v>
                </c:pt>
                <c:pt idx="16">
                  <c:v>41616</c:v>
                </c:pt>
                <c:pt idx="17">
                  <c:v>41638</c:v>
                </c:pt>
                <c:pt idx="18">
                  <c:v>41649</c:v>
                </c:pt>
                <c:pt idx="19">
                  <c:v>41655</c:v>
                </c:pt>
                <c:pt idx="20">
                  <c:v>41692</c:v>
                </c:pt>
                <c:pt idx="21">
                  <c:v>41713</c:v>
                </c:pt>
                <c:pt idx="22">
                  <c:v>41734</c:v>
                </c:pt>
                <c:pt idx="23">
                  <c:v>41747</c:v>
                </c:pt>
                <c:pt idx="24">
                  <c:v>41778</c:v>
                </c:pt>
                <c:pt idx="25">
                  <c:v>41791</c:v>
                </c:pt>
                <c:pt idx="26">
                  <c:v>41826</c:v>
                </c:pt>
                <c:pt idx="27">
                  <c:v>41908</c:v>
                </c:pt>
                <c:pt idx="28">
                  <c:v>41939</c:v>
                </c:pt>
                <c:pt idx="29">
                  <c:v>41984</c:v>
                </c:pt>
                <c:pt idx="30">
                  <c:v>42026</c:v>
                </c:pt>
                <c:pt idx="31">
                  <c:v>42076</c:v>
                </c:pt>
                <c:pt idx="32">
                  <c:v>42111</c:v>
                </c:pt>
                <c:pt idx="33">
                  <c:v>42174</c:v>
                </c:pt>
                <c:pt idx="34">
                  <c:v>42217</c:v>
                </c:pt>
                <c:pt idx="35">
                  <c:v>42252</c:v>
                </c:pt>
                <c:pt idx="36">
                  <c:v>42293</c:v>
                </c:pt>
                <c:pt idx="37">
                  <c:v>42336</c:v>
                </c:pt>
              </c:numCache>
            </c:numRef>
          </c:cat>
          <c:val>
            <c:numRef>
              <c:f>'Fig2'!$B$2:$B$39</c:f>
              <c:numCache>
                <c:formatCode>General</c:formatCode>
                <c:ptCount val="38"/>
                <c:pt idx="0">
                  <c:v>8.73</c:v>
                </c:pt>
                <c:pt idx="1">
                  <c:v>8.8799999999999972</c:v>
                </c:pt>
                <c:pt idx="2">
                  <c:v>9.2099999999999902</c:v>
                </c:pt>
                <c:pt idx="3">
                  <c:v>9.5199999999999836</c:v>
                </c:pt>
                <c:pt idx="4">
                  <c:v>9.7400000000002134</c:v>
                </c:pt>
                <c:pt idx="5">
                  <c:v>9.5800000000464589</c:v>
                </c:pt>
                <c:pt idx="6">
                  <c:v>9.6700000000786233</c:v>
                </c:pt>
                <c:pt idx="7">
                  <c:v>9.8800000001536734</c:v>
                </c:pt>
                <c:pt idx="8">
                  <c:v>9.8600000000000012</c:v>
                </c:pt>
                <c:pt idx="9">
                  <c:v>9.73</c:v>
                </c:pt>
                <c:pt idx="10">
                  <c:v>9.9200000000011777</c:v>
                </c:pt>
                <c:pt idx="11">
                  <c:v>9.9899999999677771</c:v>
                </c:pt>
                <c:pt idx="12">
                  <c:v>9.7499999982212735</c:v>
                </c:pt>
                <c:pt idx="13">
                  <c:v>9.73</c:v>
                </c:pt>
                <c:pt idx="14">
                  <c:v>10.63</c:v>
                </c:pt>
                <c:pt idx="15">
                  <c:v>10.69</c:v>
                </c:pt>
                <c:pt idx="16">
                  <c:v>10.32</c:v>
                </c:pt>
                <c:pt idx="17">
                  <c:v>10.25</c:v>
                </c:pt>
                <c:pt idx="18">
                  <c:v>10.029999999999999</c:v>
                </c:pt>
                <c:pt idx="19">
                  <c:v>9.69</c:v>
                </c:pt>
                <c:pt idx="20">
                  <c:v>9.76</c:v>
                </c:pt>
                <c:pt idx="21">
                  <c:v>9.7100000000000009</c:v>
                </c:pt>
                <c:pt idx="22">
                  <c:v>9.66</c:v>
                </c:pt>
                <c:pt idx="23">
                  <c:v>9.75</c:v>
                </c:pt>
                <c:pt idx="24">
                  <c:v>9.74</c:v>
                </c:pt>
                <c:pt idx="25">
                  <c:v>9.65</c:v>
                </c:pt>
                <c:pt idx="26">
                  <c:v>9.6199999999999992</c:v>
                </c:pt>
                <c:pt idx="27">
                  <c:v>9.52</c:v>
                </c:pt>
                <c:pt idx="28">
                  <c:v>9.5299999999999994</c:v>
                </c:pt>
                <c:pt idx="29">
                  <c:v>9.2799999999999994</c:v>
                </c:pt>
                <c:pt idx="30">
                  <c:v>9.3800000000000008</c:v>
                </c:pt>
                <c:pt idx="31">
                  <c:v>9.74</c:v>
                </c:pt>
                <c:pt idx="32">
                  <c:v>9.81</c:v>
                </c:pt>
                <c:pt idx="33">
                  <c:v>9.58</c:v>
                </c:pt>
                <c:pt idx="34">
                  <c:v>9.89</c:v>
                </c:pt>
                <c:pt idx="35">
                  <c:v>9.66</c:v>
                </c:pt>
                <c:pt idx="36">
                  <c:v>9.57</c:v>
                </c:pt>
                <c:pt idx="37">
                  <c:v>9.8800000000000008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F-4696-BCD9-65704D29E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208016"/>
        <c:axId val="741208496"/>
      </c:lineChart>
      <c:dateAx>
        <c:axId val="741208016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1208496"/>
        <c:crosses val="autoZero"/>
        <c:auto val="1"/>
        <c:lblOffset val="100"/>
        <c:baseTimeUnit val="days"/>
      </c:dateAx>
      <c:valAx>
        <c:axId val="741208496"/>
        <c:scaling>
          <c:orientation val="minMax"/>
          <c:max val="11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120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'Fig3'!$B$1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'Fig3'!$A$2:$A$16</c:f>
              <c:numCache>
                <c:formatCode>General</c:formatCode>
                <c:ptCount val="15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</c:numCache>
            </c:numRef>
          </c:cat>
          <c:val>
            <c:numRef>
              <c:f>'Fig3'!$B$2:$B$16</c:f>
              <c:numCache>
                <c:formatCode>General</c:formatCode>
                <c:ptCount val="15"/>
                <c:pt idx="0">
                  <c:v>6</c:v>
                </c:pt>
                <c:pt idx="1">
                  <c:v>36</c:v>
                </c:pt>
                <c:pt idx="2">
                  <c:v>56</c:v>
                </c:pt>
                <c:pt idx="3">
                  <c:v>120</c:v>
                </c:pt>
                <c:pt idx="4">
                  <c:v>236</c:v>
                </c:pt>
                <c:pt idx="5">
                  <c:v>245</c:v>
                </c:pt>
                <c:pt idx="6">
                  <c:v>254</c:v>
                </c:pt>
                <c:pt idx="7">
                  <c:v>263</c:v>
                </c:pt>
                <c:pt idx="8">
                  <c:v>272</c:v>
                </c:pt>
                <c:pt idx="9">
                  <c:v>281</c:v>
                </c:pt>
                <c:pt idx="10">
                  <c:v>295</c:v>
                </c:pt>
                <c:pt idx="11">
                  <c:v>310</c:v>
                </c:pt>
                <c:pt idx="12">
                  <c:v>326</c:v>
                </c:pt>
                <c:pt idx="13">
                  <c:v>338</c:v>
                </c:pt>
                <c:pt idx="1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3-495C-B045-37967F635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263504"/>
        <c:axId val="1211261104"/>
      </c:barChart>
      <c:dateAx>
        <c:axId val="12112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1261104"/>
        <c:crosses val="autoZero"/>
        <c:auto val="0"/>
        <c:lblOffset val="100"/>
        <c:baseTimeUnit val="days"/>
      </c:dateAx>
      <c:valAx>
        <c:axId val="12112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12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'Fig3'!$B$1</c:f>
              <c:strCache>
                <c:ptCount val="1"/>
                <c:pt idx="0">
                  <c:v>매출액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numRef>
              <c:f>'Fig3'!$A$2:$A$16</c:f>
              <c:numCache>
                <c:formatCode>General</c:formatCode>
                <c:ptCount val="15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</c:numCache>
            </c:numRef>
          </c:cat>
          <c:val>
            <c:numRef>
              <c:f>'Fig3'!$B$2:$B$16</c:f>
              <c:numCache>
                <c:formatCode>General</c:formatCode>
                <c:ptCount val="15"/>
                <c:pt idx="0">
                  <c:v>6</c:v>
                </c:pt>
                <c:pt idx="1">
                  <c:v>36</c:v>
                </c:pt>
                <c:pt idx="2">
                  <c:v>56</c:v>
                </c:pt>
                <c:pt idx="3">
                  <c:v>120</c:v>
                </c:pt>
                <c:pt idx="4">
                  <c:v>236</c:v>
                </c:pt>
                <c:pt idx="5">
                  <c:v>245</c:v>
                </c:pt>
                <c:pt idx="6">
                  <c:v>254</c:v>
                </c:pt>
                <c:pt idx="7">
                  <c:v>263</c:v>
                </c:pt>
                <c:pt idx="8">
                  <c:v>272</c:v>
                </c:pt>
                <c:pt idx="9">
                  <c:v>281</c:v>
                </c:pt>
                <c:pt idx="10">
                  <c:v>295</c:v>
                </c:pt>
                <c:pt idx="11">
                  <c:v>310</c:v>
                </c:pt>
                <c:pt idx="12">
                  <c:v>326</c:v>
                </c:pt>
                <c:pt idx="13">
                  <c:v>338</c:v>
                </c:pt>
                <c:pt idx="1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1-499F-AE8A-C29794348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817184"/>
        <c:axId val="1210817664"/>
      </c:barChart>
      <c:dateAx>
        <c:axId val="12108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0817664"/>
        <c:crosses val="autoZero"/>
        <c:auto val="0"/>
        <c:lblOffset val="100"/>
        <c:baseTimeUnit val="days"/>
      </c:dateAx>
      <c:valAx>
        <c:axId val="12108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081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11</xdr:row>
      <xdr:rowOff>14287</xdr:rowOff>
    </xdr:from>
    <xdr:to>
      <xdr:col>8</xdr:col>
      <xdr:colOff>309562</xdr:colOff>
      <xdr:row>27</xdr:row>
      <xdr:rowOff>119062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C1B76B-0AD2-92B8-87F4-2E52943BB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423862</xdr:colOff>
      <xdr:row>11</xdr:row>
      <xdr:rowOff>14287</xdr:rowOff>
    </xdr:from>
    <xdr:to>
      <xdr:col>17</xdr:col>
      <xdr:colOff>195262</xdr:colOff>
      <xdr:row>27</xdr:row>
      <xdr:rowOff>119062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C05DB3A-549C-F2C4-BF84-C3A048B31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4762</xdr:rowOff>
    </xdr:from>
    <xdr:to>
      <xdr:col>11</xdr:col>
      <xdr:colOff>514350</xdr:colOff>
      <xdr:row>17</xdr:row>
      <xdr:rowOff>157162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153EC17-23BC-651A-33D0-207EED58E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359834</xdr:colOff>
      <xdr:row>0</xdr:row>
      <xdr:rowOff>141816</xdr:rowOff>
    </xdr:from>
    <xdr:to>
      <xdr:col>11</xdr:col>
      <xdr:colOff>169334</xdr:colOff>
      <xdr:row>17</xdr:row>
      <xdr:rowOff>133349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13708C0-F227-331D-CABD-8DE6CAB35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89956</xdr:colOff>
      <xdr:row>22</xdr:row>
      <xdr:rowOff>57150</xdr:rowOff>
    </xdr:from>
    <xdr:to>
      <xdr:col>18</xdr:col>
      <xdr:colOff>137583</xdr:colOff>
      <xdr:row>39</xdr:row>
      <xdr:rowOff>101600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DE9D1BD-DB5E-3F90-DCD3-CAC918404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148167</xdr:colOff>
      <xdr:row>5</xdr:row>
      <xdr:rowOff>10584</xdr:rowOff>
    </xdr:from>
    <xdr:to>
      <xdr:col>14</xdr:col>
      <xdr:colOff>328084</xdr:colOff>
      <xdr:row>16</xdr:row>
      <xdr:rowOff>74084</xdr:rowOff>
    </xdr:to>
    <xdr:sp macro="" textlink="">
      <xdr:nvSpPr>
        <xdr:cNvPr id="4" name="&quot;허용 안 됨&quot; 기호 3">
          <a:extLst>
            <a:ext uri="{FF2B5EF4-FFF2-40B4-BE49-F238E27FC236}">
              <a16:creationId xmlns:a16="http://schemas.microsoft.com/office/drawing/2014/main" id="{E6499C28-F58E-8AE5-8D67-99ED8F99B32C}"/>
            </a:ext>
          </a:extLst>
        </xdr:cNvPr>
        <xdr:cNvSpPr/>
      </xdr:nvSpPr>
      <xdr:spPr>
        <a:xfrm>
          <a:off x="7556500" y="857251"/>
          <a:ext cx="179917" cy="1809750"/>
        </a:xfrm>
        <a:prstGeom prst="noSmoking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opLeftCell="D1" workbookViewId="0">
      <selection activeCell="I33" sqref="I33"/>
    </sheetView>
  </sheetViews>
  <sheetFormatPr defaultRowHeight="12.75" x14ac:dyDescent="0.2"/>
  <sheetData>
    <row r="1" spans="1:3" ht="16.5" x14ac:dyDescent="0.3">
      <c r="A1" s="3"/>
      <c r="B1" s="3" t="s">
        <v>0</v>
      </c>
      <c r="C1" s="3"/>
    </row>
    <row r="2" spans="1:3" ht="16.5" x14ac:dyDescent="0.3">
      <c r="A2" s="2">
        <v>2007</v>
      </c>
      <c r="B2" s="2">
        <v>3987</v>
      </c>
      <c r="C2" s="3"/>
    </row>
    <row r="3" spans="1:3" ht="16.5" x14ac:dyDescent="0.3">
      <c r="A3" s="2">
        <v>2008</v>
      </c>
      <c r="B3" s="2">
        <v>4465</v>
      </c>
      <c r="C3" s="3"/>
    </row>
    <row r="4" spans="1:3" ht="16.5" x14ac:dyDescent="0.3">
      <c r="A4" s="2">
        <v>2009</v>
      </c>
      <c r="B4" s="2">
        <v>4733</v>
      </c>
      <c r="C4" s="3"/>
    </row>
    <row r="5" spans="1:3" ht="16.5" x14ac:dyDescent="0.3">
      <c r="A5" s="2">
        <v>2010</v>
      </c>
      <c r="B5" s="2">
        <v>5254</v>
      </c>
      <c r="C5" s="3"/>
    </row>
    <row r="6" spans="1:3" ht="16.5" x14ac:dyDescent="0.3">
      <c r="A6" s="2">
        <v>2011</v>
      </c>
      <c r="B6" s="2">
        <v>5832</v>
      </c>
      <c r="C6" s="3"/>
    </row>
    <row r="7" spans="1:3" ht="16.5" x14ac:dyDescent="0.3">
      <c r="A7" s="2">
        <v>2012</v>
      </c>
      <c r="B7" s="2">
        <v>6182</v>
      </c>
      <c r="C7" s="3"/>
    </row>
    <row r="8" spans="1:3" ht="16.5" x14ac:dyDescent="0.3">
      <c r="A8" s="2">
        <v>2013</v>
      </c>
      <c r="B8" s="2">
        <v>5378</v>
      </c>
      <c r="C8" s="3"/>
    </row>
    <row r="9" spans="1:3" ht="16.5" x14ac:dyDescent="0.3">
      <c r="A9" s="2">
        <v>2014</v>
      </c>
      <c r="B9" s="2">
        <v>5324</v>
      </c>
      <c r="C9" s="3"/>
    </row>
    <row r="10" spans="1:3" ht="16.5" x14ac:dyDescent="0.3">
      <c r="A10" s="2">
        <v>2015</v>
      </c>
      <c r="B10" s="2">
        <v>4525</v>
      </c>
      <c r="C10" s="3"/>
    </row>
    <row r="11" spans="1:3" ht="16.5" x14ac:dyDescent="0.3">
      <c r="A11" s="3"/>
      <c r="B11" s="3"/>
      <c r="C11" s="3"/>
    </row>
    <row r="12" spans="1:3" ht="16.5" x14ac:dyDescent="0.3">
      <c r="A12" s="3"/>
      <c r="B12" s="3"/>
      <c r="C12" s="3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>
      <selection activeCell="J30" sqref="J30"/>
    </sheetView>
  </sheetViews>
  <sheetFormatPr defaultRowHeight="12.75" x14ac:dyDescent="0.2"/>
  <cols>
    <col min="1" max="1" width="10.5" bestFit="1" customWidth="1"/>
  </cols>
  <sheetData>
    <row r="1" spans="1:3" ht="16.5" x14ac:dyDescent="0.3">
      <c r="A1" s="3"/>
      <c r="B1" s="3" t="s">
        <v>1</v>
      </c>
    </row>
    <row r="2" spans="1:3" x14ac:dyDescent="0.2">
      <c r="A2" s="1">
        <v>40910</v>
      </c>
      <c r="B2">
        <v>8.73</v>
      </c>
    </row>
    <row r="3" spans="1:3" x14ac:dyDescent="0.2">
      <c r="A3" s="1">
        <v>40931</v>
      </c>
      <c r="B3">
        <v>8.8799999999999972</v>
      </c>
    </row>
    <row r="4" spans="1:3" x14ac:dyDescent="0.2">
      <c r="A4" s="1">
        <v>40978</v>
      </c>
      <c r="B4">
        <v>9.2099999999999902</v>
      </c>
    </row>
    <row r="5" spans="1:3" x14ac:dyDescent="0.2">
      <c r="A5" s="1">
        <v>41021</v>
      </c>
      <c r="B5">
        <v>9.5199999999999836</v>
      </c>
    </row>
    <row r="6" spans="1:3" x14ac:dyDescent="0.2">
      <c r="A6" s="1">
        <v>41068</v>
      </c>
      <c r="B6">
        <v>9.7400000000002134</v>
      </c>
    </row>
    <row r="7" spans="1:3" x14ac:dyDescent="0.2">
      <c r="A7" s="1">
        <v>41111</v>
      </c>
      <c r="B7">
        <v>9.5800000000464589</v>
      </c>
    </row>
    <row r="8" spans="1:3" x14ac:dyDescent="0.2">
      <c r="A8" s="1">
        <v>41124</v>
      </c>
      <c r="B8">
        <v>9.6700000000786233</v>
      </c>
    </row>
    <row r="9" spans="1:3" x14ac:dyDescent="0.2">
      <c r="A9" s="1">
        <v>41153</v>
      </c>
      <c r="B9">
        <v>9.8800000001536734</v>
      </c>
    </row>
    <row r="10" spans="1:3" x14ac:dyDescent="0.2">
      <c r="A10" s="1">
        <v>41235</v>
      </c>
      <c r="B10">
        <v>9.8600000000000012</v>
      </c>
    </row>
    <row r="11" spans="1:3" x14ac:dyDescent="0.2">
      <c r="A11" s="1">
        <v>41278</v>
      </c>
      <c r="B11">
        <v>9.73</v>
      </c>
    </row>
    <row r="12" spans="1:3" x14ac:dyDescent="0.2">
      <c r="A12" s="1">
        <v>41305</v>
      </c>
      <c r="B12">
        <v>9.9200000000011777</v>
      </c>
    </row>
    <row r="13" spans="1:3" x14ac:dyDescent="0.2">
      <c r="A13" s="1">
        <v>41343</v>
      </c>
      <c r="B13">
        <v>9.9899999999677771</v>
      </c>
    </row>
    <row r="14" spans="1:3" x14ac:dyDescent="0.2">
      <c r="A14" s="1">
        <v>41386</v>
      </c>
      <c r="B14">
        <v>9.7499999982212735</v>
      </c>
    </row>
    <row r="15" spans="1:3" x14ac:dyDescent="0.2">
      <c r="A15" s="1">
        <v>41428</v>
      </c>
      <c r="B15">
        <v>9.73</v>
      </c>
      <c r="C15">
        <v>9.73</v>
      </c>
    </row>
    <row r="16" spans="1:3" x14ac:dyDescent="0.2">
      <c r="A16" s="1">
        <v>41512</v>
      </c>
      <c r="B16">
        <v>10.63</v>
      </c>
      <c r="C16">
        <v>10.630003970117629</v>
      </c>
    </row>
    <row r="17" spans="1:3" x14ac:dyDescent="0.2">
      <c r="A17" s="1">
        <v>41601</v>
      </c>
      <c r="B17">
        <v>10.69</v>
      </c>
      <c r="C17">
        <v>10.69</v>
      </c>
    </row>
    <row r="18" spans="1:3" x14ac:dyDescent="0.2">
      <c r="A18" s="1">
        <v>41616</v>
      </c>
      <c r="B18">
        <v>10.32</v>
      </c>
    </row>
    <row r="19" spans="1:3" x14ac:dyDescent="0.2">
      <c r="A19" s="1">
        <v>41638</v>
      </c>
      <c r="B19">
        <v>10.25</v>
      </c>
    </row>
    <row r="20" spans="1:3" x14ac:dyDescent="0.2">
      <c r="A20" s="1">
        <v>41649</v>
      </c>
      <c r="B20">
        <v>10.029999999999999</v>
      </c>
    </row>
    <row r="21" spans="1:3" x14ac:dyDescent="0.2">
      <c r="A21" s="1">
        <v>41655</v>
      </c>
      <c r="B21">
        <v>9.69</v>
      </c>
    </row>
    <row r="22" spans="1:3" x14ac:dyDescent="0.2">
      <c r="A22" s="1">
        <v>41692</v>
      </c>
      <c r="B22">
        <v>9.76</v>
      </c>
    </row>
    <row r="23" spans="1:3" x14ac:dyDescent="0.2">
      <c r="A23" s="1">
        <v>41713</v>
      </c>
      <c r="B23">
        <v>9.7100000000000009</v>
      </c>
    </row>
    <row r="24" spans="1:3" x14ac:dyDescent="0.2">
      <c r="A24" s="1">
        <v>41734</v>
      </c>
      <c r="B24">
        <v>9.66</v>
      </c>
    </row>
    <row r="25" spans="1:3" x14ac:dyDescent="0.2">
      <c r="A25" s="1">
        <v>41747</v>
      </c>
      <c r="B25">
        <v>9.75</v>
      </c>
    </row>
    <row r="26" spans="1:3" x14ac:dyDescent="0.2">
      <c r="A26" s="1">
        <v>41778</v>
      </c>
      <c r="B26">
        <v>9.74</v>
      </c>
    </row>
    <row r="27" spans="1:3" x14ac:dyDescent="0.2">
      <c r="A27" s="1">
        <v>41791</v>
      </c>
      <c r="B27">
        <v>9.65</v>
      </c>
    </row>
    <row r="28" spans="1:3" x14ac:dyDescent="0.2">
      <c r="A28" s="1">
        <v>41826</v>
      </c>
      <c r="B28">
        <v>9.6199999999999992</v>
      </c>
    </row>
    <row r="29" spans="1:3" x14ac:dyDescent="0.2">
      <c r="A29" s="1">
        <v>41908</v>
      </c>
      <c r="B29">
        <v>9.52</v>
      </c>
    </row>
    <row r="30" spans="1:3" x14ac:dyDescent="0.2">
      <c r="A30" s="1">
        <v>41939</v>
      </c>
      <c r="B30">
        <v>9.5299999999999994</v>
      </c>
    </row>
    <row r="31" spans="1:3" x14ac:dyDescent="0.2">
      <c r="A31" s="1">
        <v>41984</v>
      </c>
      <c r="B31">
        <v>9.2799999999999994</v>
      </c>
    </row>
    <row r="32" spans="1:3" x14ac:dyDescent="0.2">
      <c r="A32" s="1">
        <v>42026</v>
      </c>
      <c r="B32">
        <v>9.3800000000000008</v>
      </c>
    </row>
    <row r="33" spans="1:2" x14ac:dyDescent="0.2">
      <c r="A33" s="1">
        <v>42076</v>
      </c>
      <c r="B33">
        <v>9.74</v>
      </c>
    </row>
    <row r="34" spans="1:2" x14ac:dyDescent="0.2">
      <c r="A34" s="1">
        <v>42111</v>
      </c>
      <c r="B34">
        <v>9.81</v>
      </c>
    </row>
    <row r="35" spans="1:2" x14ac:dyDescent="0.2">
      <c r="A35" s="1">
        <v>42174</v>
      </c>
      <c r="B35">
        <v>9.58</v>
      </c>
    </row>
    <row r="36" spans="1:2" x14ac:dyDescent="0.2">
      <c r="A36" s="1">
        <v>42217</v>
      </c>
      <c r="B36">
        <v>9.89</v>
      </c>
    </row>
    <row r="37" spans="1:2" x14ac:dyDescent="0.2">
      <c r="A37" s="1">
        <v>42252</v>
      </c>
      <c r="B37">
        <v>9.66</v>
      </c>
    </row>
    <row r="38" spans="1:2" x14ac:dyDescent="0.2">
      <c r="A38" s="1">
        <v>42293</v>
      </c>
      <c r="B38">
        <v>9.57</v>
      </c>
    </row>
    <row r="39" spans="1:2" x14ac:dyDescent="0.2">
      <c r="A39" s="1">
        <v>42336</v>
      </c>
      <c r="B39">
        <v>9.8800000000000008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zoomScale="90" zoomScaleNormal="90" workbookViewId="0">
      <selection activeCell="G44" sqref="G44"/>
    </sheetView>
  </sheetViews>
  <sheetFormatPr defaultRowHeight="12.75" x14ac:dyDescent="0.2"/>
  <sheetData>
    <row r="1" spans="1:2" ht="16.5" x14ac:dyDescent="0.3">
      <c r="A1" s="3"/>
      <c r="B1" s="3" t="s">
        <v>2</v>
      </c>
    </row>
    <row r="2" spans="1:2" x14ac:dyDescent="0.2">
      <c r="A2">
        <v>1960</v>
      </c>
      <c r="B2">
        <f>2+4</f>
        <v>6</v>
      </c>
    </row>
    <row r="3" spans="1:2" x14ac:dyDescent="0.2">
      <c r="A3">
        <v>1970</v>
      </c>
      <c r="B3">
        <f>10+12+14</f>
        <v>36</v>
      </c>
    </row>
    <row r="4" spans="1:2" x14ac:dyDescent="0.2">
      <c r="A4">
        <v>1980</v>
      </c>
      <c r="B4">
        <f>10+20+12+14</f>
        <v>56</v>
      </c>
    </row>
    <row r="5" spans="1:2" x14ac:dyDescent="0.2">
      <c r="A5">
        <v>1990</v>
      </c>
      <c r="B5">
        <f>20+30+32+34+2+2</f>
        <v>120</v>
      </c>
    </row>
    <row r="6" spans="1:2" x14ac:dyDescent="0.2">
      <c r="A6">
        <v>2000</v>
      </c>
      <c r="B6">
        <f t="shared" ref="B6:B11" si="0">(A6-1951)+(A6-1953)+(A6-1955)+(A6-1965)+(A6-1983)+(A6-1983)+(A6-1991)+(A6-1989)+(A6-1994)</f>
        <v>236</v>
      </c>
    </row>
    <row r="7" spans="1:2" x14ac:dyDescent="0.2">
      <c r="A7">
        <v>2001</v>
      </c>
      <c r="B7">
        <f t="shared" si="0"/>
        <v>245</v>
      </c>
    </row>
    <row r="8" spans="1:2" x14ac:dyDescent="0.2">
      <c r="A8">
        <v>2002</v>
      </c>
      <c r="B8">
        <f t="shared" si="0"/>
        <v>254</v>
      </c>
    </row>
    <row r="9" spans="1:2" x14ac:dyDescent="0.2">
      <c r="A9">
        <v>2003</v>
      </c>
      <c r="B9">
        <f t="shared" si="0"/>
        <v>263</v>
      </c>
    </row>
    <row r="10" spans="1:2" x14ac:dyDescent="0.2">
      <c r="A10">
        <v>2004</v>
      </c>
      <c r="B10">
        <f t="shared" si="0"/>
        <v>272</v>
      </c>
    </row>
    <row r="11" spans="1:2" x14ac:dyDescent="0.2">
      <c r="A11">
        <v>2005</v>
      </c>
      <c r="B11">
        <f t="shared" si="0"/>
        <v>281</v>
      </c>
    </row>
    <row r="12" spans="1:2" x14ac:dyDescent="0.2">
      <c r="A12">
        <v>2006</v>
      </c>
      <c r="B12">
        <f>(A12-1951)+(A12-1953)+(A12-1955)+(A12-1965)+(A12-1983)+(A12-1983)+(A12-1991)+(A12-1989)+(A12-1994)+(A12-2001)</f>
        <v>295</v>
      </c>
    </row>
    <row r="13" spans="1:2" x14ac:dyDescent="0.2">
      <c r="A13">
        <v>2007</v>
      </c>
      <c r="B13">
        <f>(A13-1951)+(A13-1953)+(A13-1955)+(A13-1965)+(A13-1983)+(A13-1983)+(A13-1991)+(A13-1989)+(A13-1994)+(A13-2001)+(A13-2002)</f>
        <v>310</v>
      </c>
    </row>
    <row r="14" spans="1:2" x14ac:dyDescent="0.2">
      <c r="A14">
        <v>2008</v>
      </c>
      <c r="B14">
        <f>(A14-1951)+(A14-1953)+(A14-1955)+(A14-1965)+(A14-1983)+(A14-1983)+(A14-1991)+(A14-1989)+(A14-1994)+(A14-2001)+(A14-2002)+(A14-2003)</f>
        <v>326</v>
      </c>
    </row>
    <row r="15" spans="1:2" x14ac:dyDescent="0.2">
      <c r="A15">
        <v>2009</v>
      </c>
      <c r="B15">
        <f>(A15-1951)+(A15-1953)+(A15-1955)+(A15-1965)+(A15-1983)+(A15-1983)+(A15-1991)+(A15-1989)+(A15-1994)+(A15-2001)+(A15-2002)+(A15-2003)</f>
        <v>338</v>
      </c>
    </row>
    <row r="16" spans="1:2" x14ac:dyDescent="0.2">
      <c r="A16">
        <v>2010</v>
      </c>
      <c r="B16">
        <f>(A16-1951)+(A16-1953)+(A16-1955)+(A16-1965)+(A16-1983)+(A16-1983)+(A16-1991)+(A16-1989)+(A16-1994)+(A16-2001)+(A16-2002)+(A16-2003)</f>
        <v>350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2.75" x14ac:dyDescent="0.2"/>
  <sheetData>
    <row r="1" spans="1:2" ht="16.5" x14ac:dyDescent="0.3">
      <c r="A1" s="3"/>
      <c r="B1" s="3" t="s">
        <v>2</v>
      </c>
    </row>
    <row r="2" spans="1:2" x14ac:dyDescent="0.2">
      <c r="A2">
        <v>1960</v>
      </c>
      <c r="B2">
        <f>2+4</f>
        <v>6</v>
      </c>
    </row>
    <row r="3" spans="1:2" x14ac:dyDescent="0.2">
      <c r="A3">
        <v>1970</v>
      </c>
      <c r="B3">
        <f>10+12+14</f>
        <v>36</v>
      </c>
    </row>
    <row r="4" spans="1:2" x14ac:dyDescent="0.2">
      <c r="A4">
        <v>1980</v>
      </c>
      <c r="B4">
        <f>10+20+12+14</f>
        <v>56</v>
      </c>
    </row>
    <row r="5" spans="1:2" x14ac:dyDescent="0.2">
      <c r="A5">
        <v>1990</v>
      </c>
      <c r="B5">
        <f>20+30+32+34+2+2</f>
        <v>120</v>
      </c>
    </row>
    <row r="6" spans="1:2" x14ac:dyDescent="0.2">
      <c r="A6">
        <v>2000</v>
      </c>
      <c r="B6">
        <f t="shared" ref="B6:B11" si="0">(A6-1951)+(A6-1953)+(A6-1955)+(A6-1965)+(A6-1983)+(A6-1983)+(A6-1991)+(A6-1989)+(A6-1994)</f>
        <v>236</v>
      </c>
    </row>
    <row r="7" spans="1:2" x14ac:dyDescent="0.2">
      <c r="A7">
        <v>2001</v>
      </c>
      <c r="B7">
        <f t="shared" si="0"/>
        <v>245</v>
      </c>
    </row>
    <row r="8" spans="1:2" x14ac:dyDescent="0.2">
      <c r="A8">
        <v>2002</v>
      </c>
      <c r="B8">
        <f t="shared" si="0"/>
        <v>254</v>
      </c>
    </row>
    <row r="9" spans="1:2" x14ac:dyDescent="0.2">
      <c r="A9">
        <v>2003</v>
      </c>
      <c r="B9">
        <f t="shared" si="0"/>
        <v>263</v>
      </c>
    </row>
    <row r="10" spans="1:2" x14ac:dyDescent="0.2">
      <c r="A10">
        <v>2004</v>
      </c>
      <c r="B10">
        <f t="shared" si="0"/>
        <v>272</v>
      </c>
    </row>
    <row r="11" spans="1:2" x14ac:dyDescent="0.2">
      <c r="A11">
        <v>2005</v>
      </c>
      <c r="B11">
        <f t="shared" si="0"/>
        <v>281</v>
      </c>
    </row>
    <row r="12" spans="1:2" x14ac:dyDescent="0.2">
      <c r="A12">
        <v>2006</v>
      </c>
      <c r="B12">
        <f>(A12-1951)+(A12-1953)+(A12-1955)+(A12-1965)+(A12-1983)+(A12-1983)+(A12-1991)+(A12-1989)+(A12-1994)+(A12-2001)</f>
        <v>295</v>
      </c>
    </row>
    <row r="13" spans="1:2" x14ac:dyDescent="0.2">
      <c r="A13">
        <v>2007</v>
      </c>
      <c r="B13">
        <f>(A13-1951)+(A13-1953)+(A13-1955)+(A13-1965)+(A13-1983)+(A13-1983)+(A13-1991)+(A13-1989)+(A13-1994)+(A13-2001)+(A13-2002)</f>
        <v>310</v>
      </c>
    </row>
    <row r="14" spans="1:2" x14ac:dyDescent="0.2">
      <c r="A14">
        <v>2008</v>
      </c>
      <c r="B14">
        <f>(A14-1951)+(A14-1953)+(A14-1955)+(A14-1965)+(A14-1983)+(A14-1983)+(A14-1991)+(A14-1989)+(A14-1994)+(A14-2001)+(A14-2002)+(A14-2003)</f>
        <v>326</v>
      </c>
    </row>
    <row r="15" spans="1:2" x14ac:dyDescent="0.2">
      <c r="A15">
        <v>2009</v>
      </c>
      <c r="B15">
        <f>(A15-1951)+(A15-1953)+(A15-1955)+(A15-1965)+(A15-1983)+(A15-1983)+(A15-1991)+(A15-1989)+(A15-1994)+(A15-2001)+(A15-2002)+(A15-2003)</f>
        <v>338</v>
      </c>
    </row>
    <row r="16" spans="1:2" x14ac:dyDescent="0.2">
      <c r="A16">
        <v>2010</v>
      </c>
      <c r="B16">
        <f>(A16-1951)+(A16-1953)+(A16-1955)+(A16-1965)+(A16-1983)+(A16-1983)+(A16-1991)+(A16-1989)+(A16-1994)+(A16-2001)+(A16-2002)+(A16-2003)</f>
        <v>350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2009-10-13T12:23:03Z</outs:dateTime>
      <outs:isPinned>true</outs:isPinned>
    </outs:relatedDate>
    <outs:relatedDate>
      <outs:type>2</outs:type>
      <outs:displayName>Created</outs:displayName>
      <outs:dateTime>2007-04-22T10:39:03Z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Customer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Bill Jelen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63281446-401E-4C2E-8227-30B5AF132351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Fig1</vt:lpstr>
      <vt:lpstr>Fig2</vt:lpstr>
      <vt:lpstr>Fig3</vt:lpstr>
      <vt:lpstr>Fig4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2007-04-22T10:39:03Z</dcterms:created>
  <dcterms:modified xsi:type="dcterms:W3CDTF">2026-05-26T12:37:51Z</dcterms:modified>
</cp:coreProperties>
</file>