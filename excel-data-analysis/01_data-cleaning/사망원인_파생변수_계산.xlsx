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 defaultThemeVersion="166925"/>
  <xr:revisionPtr revIDLastSave="153" documentId="11_A5B03F4A06335AEF07ED2B86F98E9BF757F357F3" xr6:coauthVersionLast="47" xr6:coauthVersionMax="47" xr10:uidLastSave="{9DDDF3B0-F013-4678-A8E0-1DA13C0F87B1}"/>
  <bookViews>
    <workbookView xWindow="0" yWindow="0" windowWidth="0" windowHeight="0" firstSheet="1" activeTab="1" xr2:uid="{00000000-000D-0000-FFFF-FFFF00000000}"/>
  </bookViews>
  <sheets>
    <sheet name="데이터" sheetId="1" r:id="rId1"/>
    <sheet name="Sheet1" sheetId="3" r:id="rId2"/>
    <sheet name="메타정보" sheetId="2" r:id="rId3"/>
  </sheets>
  <definedNames>
    <definedName name="_xlnm._FilterDatabase" localSheetId="1" hidden="1">Sheet1!$A$1:$D$1</definedName>
  </definedName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4" i="3" l="1"/>
  <c r="J43" i="3"/>
  <c r="J47" i="3"/>
  <c r="J46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2" i="3"/>
  <c r="L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D43" i="3"/>
  <c r="C43" i="3"/>
  <c r="C42" i="3"/>
  <c r="E42" i="3"/>
  <c r="D4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2" i="3"/>
  <c r="E4" i="3"/>
  <c r="F4" i="3"/>
  <c r="G4" i="3"/>
  <c r="E5" i="3"/>
  <c r="F5" i="3"/>
  <c r="G5" i="3"/>
  <c r="E6" i="3"/>
  <c r="F6" i="3"/>
  <c r="G6" i="3"/>
  <c r="E7" i="3"/>
  <c r="F7" i="3"/>
  <c r="G7" i="3"/>
  <c r="E8" i="3"/>
  <c r="F8" i="3"/>
  <c r="G8" i="3"/>
  <c r="E9" i="3"/>
  <c r="F9" i="3"/>
  <c r="G9" i="3"/>
  <c r="E10" i="3"/>
  <c r="F10" i="3"/>
  <c r="G10" i="3"/>
  <c r="E11" i="3"/>
  <c r="F11" i="3"/>
  <c r="G11" i="3"/>
  <c r="E12" i="3"/>
  <c r="F12" i="3"/>
  <c r="G12" i="3"/>
  <c r="E13" i="3"/>
  <c r="F13" i="3"/>
  <c r="G13" i="3"/>
  <c r="E14" i="3"/>
  <c r="F14" i="3"/>
  <c r="G14" i="3"/>
  <c r="E15" i="3"/>
  <c r="F15" i="3"/>
  <c r="G15" i="3"/>
  <c r="E16" i="3"/>
  <c r="F16" i="3"/>
  <c r="G16" i="3"/>
  <c r="E17" i="3"/>
  <c r="F17" i="3"/>
  <c r="G17" i="3"/>
  <c r="E18" i="3"/>
  <c r="F18" i="3"/>
  <c r="G18" i="3"/>
  <c r="E19" i="3"/>
  <c r="F19" i="3"/>
  <c r="G19" i="3"/>
  <c r="E20" i="3"/>
  <c r="F20" i="3"/>
  <c r="G20" i="3"/>
  <c r="E21" i="3"/>
  <c r="F21" i="3"/>
  <c r="G21" i="3"/>
  <c r="E22" i="3"/>
  <c r="F22" i="3"/>
  <c r="G22" i="3"/>
  <c r="E23" i="3"/>
  <c r="F23" i="3"/>
  <c r="G23" i="3"/>
  <c r="E24" i="3"/>
  <c r="F24" i="3"/>
  <c r="G24" i="3"/>
  <c r="E25" i="3"/>
  <c r="F25" i="3"/>
  <c r="G25" i="3"/>
  <c r="E26" i="3"/>
  <c r="F26" i="3"/>
  <c r="G26" i="3"/>
  <c r="E27" i="3"/>
  <c r="F27" i="3"/>
  <c r="G27" i="3"/>
  <c r="E28" i="3"/>
  <c r="F28" i="3"/>
  <c r="G28" i="3"/>
  <c r="E29" i="3"/>
  <c r="F29" i="3"/>
  <c r="G29" i="3"/>
  <c r="E30" i="3"/>
  <c r="F30" i="3"/>
  <c r="G30" i="3"/>
  <c r="E31" i="3"/>
  <c r="F31" i="3"/>
  <c r="G31" i="3"/>
  <c r="E32" i="3"/>
  <c r="F32" i="3"/>
  <c r="G32" i="3"/>
  <c r="E33" i="3"/>
  <c r="F33" i="3"/>
  <c r="G33" i="3"/>
  <c r="E34" i="3"/>
  <c r="F34" i="3"/>
  <c r="G34" i="3"/>
  <c r="E35" i="3"/>
  <c r="F35" i="3"/>
  <c r="G35" i="3"/>
  <c r="E36" i="3"/>
  <c r="F36" i="3"/>
  <c r="G36" i="3"/>
  <c r="E37" i="3"/>
  <c r="F37" i="3"/>
  <c r="G37" i="3"/>
  <c r="E38" i="3"/>
  <c r="F38" i="3"/>
  <c r="G38" i="3"/>
  <c r="E39" i="3"/>
  <c r="F39" i="3"/>
  <c r="G39" i="3"/>
  <c r="E40" i="3"/>
  <c r="F40" i="3"/>
  <c r="G40" i="3"/>
  <c r="G3" i="3"/>
  <c r="G2" i="3"/>
  <c r="F3" i="3"/>
  <c r="E3" i="3"/>
  <c r="F2" i="3"/>
  <c r="E2" i="3"/>
  <c r="K2" i="3" s="1"/>
  <c r="J2" i="3" l="1"/>
</calcChain>
</file>

<file path=xl/sharedStrings.xml><?xml version="1.0" encoding="utf-8"?>
<sst xmlns="http://schemas.openxmlformats.org/spreadsheetml/2006/main" count="154" uniqueCount="95">
  <si>
    <t>성별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</si>
  <si>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</si>
  <si>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</si>
  <si>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</si>
  <si>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</si>
  <si>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</si>
  <si>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</si>
  <si>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</si>
  <si>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</si>
  <si>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</si>
  <si>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</si>
  <si>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</si>
  <si>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</si>
  <si>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</si>
  <si>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</si>
  <si>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</si>
  <si>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</si>
  <si>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</si>
  <si>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</si>
  <si>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</si>
  <si>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</si>
  <si>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</si>
  <si>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</si>
  <si>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</si>
  <si>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</si>
  <si>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</si>
  <si>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</si>
  <si>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</si>
  <si>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</si>
  <si>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</si>
  <si>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</si>
  <si>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</si>
  <si>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</si>
  <si>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</si>
  <si>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</si>
  <si>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</si>
  <si>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</si>
  <si>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</si>
  <si>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</si>
  <si>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</si>
  <si>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남자</t>
  </si>
  <si>
    <t>여자</t>
  </si>
  <si>
    <t>년도</t>
  </si>
  <si>
    <t>년도_tag</t>
  </si>
  <si>
    <t xml:space="preserve">    합계</t>
  </si>
  <si>
    <t xml:space="preserve">    차이</t>
  </si>
  <si>
    <t>남자/여자 비율</t>
  </si>
  <si>
    <t>남자/여자 백분율</t>
  </si>
  <si>
    <t>남자 사망자 비율</t>
  </si>
  <si>
    <t>여자 사망자 비율</t>
  </si>
  <si>
    <t>39년간 전체 사망자 대비 년도별 사망자 비율</t>
  </si>
  <si>
    <t>합계</t>
  </si>
  <si>
    <t>카운트</t>
  </si>
  <si>
    <t>평균</t>
  </si>
  <si>
    <t>small</t>
  </si>
  <si>
    <t>large</t>
  </si>
  <si>
    <t>min</t>
  </si>
  <si>
    <t>max</t>
  </si>
  <si>
    <t>○ 통계표ID</t>
  </si>
  <si>
    <t>DT_1B34E01</t>
  </si>
  <si>
    <t>○ 통계표명</t>
  </si>
  <si>
    <t>사망원인(104항목)/성/연령(5세)별 사망자수, 사망률</t>
  </si>
  <si>
    <t>○ 조회기간</t>
  </si>
  <si>
    <t xml:space="preserve">[년] 1983~2021  </t>
  </si>
  <si>
    <t>○ 출처</t>
  </si>
  <si>
    <t>「사망원인통계」, 국가데이터처</t>
  </si>
  <si>
    <t>○ 자료다운일자</t>
  </si>
  <si>
    <t>2026.03.11 10:57</t>
  </si>
  <si>
    <t>○ 통계표URL</t>
  </si>
  <si>
    <t>https://kosis.kr/statHtml/statHtml.do?orgId=101&amp;tblId=DT_1B34E01&amp;conn_path=I3</t>
  </si>
  <si>
    <t/>
  </si>
  <si>
    <t>* KOSIS 개편 시 통계표 URL은 달라질 수 있음</t>
  </si>
  <si>
    <t>○ 단위</t>
  </si>
  <si>
    <t>명</t>
  </si>
  <si>
    <t>○ 주석</t>
  </si>
  <si>
    <t>통계표</t>
  </si>
  <si>
    <t>○ 본 자료의 수치는 통계의 일관성 확보와 국제비교 가능성 향상을 위해 지난 24년간(1983년 ~ 2007년)의 자료원 및 집계방식 단일화 등 시계열을 보정한 결과로 기존의 공표자료와 차이가 있음</t>
  </si>
  <si>
    <t xml:space="preserve">  - 총 사망자수는 국내 거주 사망자수만을 집계</t>
  </si>
  <si>
    <t xml:space="preserve">    · 해외 거주 사망자 수는 인구동태통계연보 부록3. 국외 사망표에서 제공</t>
  </si>
  <si>
    <t xml:space="preserve">  - 1983~2007년까지 자료는 10년간의 지연신고 누적분이 포함된 결과이며, 이후 기간은 동일한 기준으로 시계열 비교를 위해 당해연도 1월부터 익년 4월까지(16개월간) 신고분을 집계한 결과</t>
  </si>
  <si>
    <t xml:space="preserve">  - 연앙인구의 자료원(추계인구, 주민인구)과 계산방식(산술평균) 일치</t>
  </si>
  <si>
    <t xml:space="preserve">  - 사망원인별 사망률 산출방식 일치</t>
  </si>
  <si>
    <t>○ 1999년부터 사망원인이 부실하게 신고된 자료에 대해 외부 행정기관 자료를 이용하여 보완하였으므로 시계열 비교 시 유의하기 바람</t>
  </si>
  <si>
    <t xml:space="preserve">  - 1999년부터 영아사망 누락 건수를 보완함</t>
  </si>
  <si>
    <t xml:space="preserve">    · 출생전후기질환 및 선천기형 등 영아관련 사망원인은 1999년부터 보완</t>
  </si>
  <si>
    <t xml:space="preserve">  - 암을 포함한 전반적인 사망원인은 2000년부터 보완</t>
  </si>
  <si>
    <t xml:space="preserve">  - 전염병자료 2001년부터(에이즈는 2002년부터, 결핵은 2003년부터) 보완</t>
  </si>
  <si>
    <t xml:space="preserve">  - 사고사 관련 사망원인은 2002년부터 보완 </t>
  </si>
  <si>
    <t>○ 한국표준질병.사인분류 5차: 코드 신설(J09)로 인한 인플루엔자 범위 수정</t>
  </si>
  <si>
    <t xml:space="preserve"> *신설코드: 특정의 확인된 인플루엔자 바이러스에 의한 인플루엔자(J09)</t>
  </si>
  <si>
    <t xml:space="preserve"> *분류는 2008년부터 적용되었으나, 한국은 2009년부터 해당 사망자 발생</t>
  </si>
  <si>
    <t>○ 2020년 코로나19 사망자 발생으로 특정 감염성 및 기생충성 질환 범위 수정</t>
  </si>
  <si>
    <t xml:space="preserve"> *신설코드: 바이러스가 확인된 코로나바이러스 질환 2019(U07.1), 바이러스가 확인되지 않은 코로나바이러스 질환 2019(U07.2)</t>
  </si>
  <si>
    <t>○ 2021년 코로나19 항목 추가 및 코드신설(U12)로 인한 사망의 외인 범위 수정</t>
  </si>
  <si>
    <t xml:space="preserve">  * 코로나19 : 바이러스가 확인된 코로나바이러스 질환 2019(U07.1), 바이러스가 확인되지 않은 코로나바이러스 질환 2019(U07.2), 코로나19와 관련된 다발계통 염증성증후군(U10)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</si>
</sst>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BCCCE0"/>
      </patternFill>
    </fill>
    <fill>
      <patternFill patternType="solid">
        <fgColor rgb="FFF0EBD7"/>
      </patternFill>
    </fill>
    <fill>
      <patternFill patternType="solid">
        <fgColor rgb="FFE2ECF8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3" fontId="0" fillId="0" borderId="1" xfId="0" applyNumberFormat="1" applyBorder="1" applyAlignment="1">
      <alignment horizontal="right"/>
    </xf>
    <xf numFmtId="0" fontId="0" fillId="0" borderId="0" xfId="0" applyAlignment="1">
      <alignment horizontal="left"/>
    </xf>
    <xf numFmtId="0" fontId="0" fillId="2" borderId="1" xfId="0" applyFill="1" applyBorder="1">
      <alignment vertical="center"/>
    </xf>
    <xf numFmtId="0" fontId="0" fillId="3" borderId="1" xfId="0" applyFill="1" applyBorder="1" applyAlignment="1"/>
    <xf numFmtId="0" fontId="0" fillId="4" borderId="2" xfId="0" applyFill="1" applyBorder="1" applyAlignment="1"/>
    <xf numFmtId="0" fontId="0" fillId="4" borderId="1" xfId="0" applyFill="1" applyBorder="1" applyAlignment="1"/>
    <xf numFmtId="0" fontId="2" fillId="2" borderId="4" xfId="0" applyFont="1" applyFill="1" applyBorder="1">
      <alignment vertical="center"/>
    </xf>
    <xf numFmtId="0" fontId="2" fillId="4" borderId="4" xfId="0" applyFont="1" applyFill="1" applyBorder="1" applyAlignment="1"/>
    <xf numFmtId="0" fontId="2" fillId="4" borderId="2" xfId="0" applyFont="1" applyFill="1" applyBorder="1" applyAlignment="1"/>
    <xf numFmtId="3" fontId="1" fillId="5" borderId="4" xfId="0" applyNumberFormat="1" applyFont="1" applyFill="1" applyBorder="1" applyAlignment="1">
      <alignment horizontal="right"/>
    </xf>
    <xf numFmtId="3" fontId="1" fillId="5" borderId="2" xfId="0" applyNumberFormat="1" applyFont="1" applyFill="1" applyBorder="1" applyAlignment="1">
      <alignment horizontal="right"/>
    </xf>
    <xf numFmtId="3" fontId="1" fillId="5" borderId="3" xfId="0" applyNumberFormat="1" applyFont="1" applyFill="1" applyBorder="1" applyAlignment="1">
      <alignment horizontal="right"/>
    </xf>
    <xf numFmtId="3" fontId="1" fillId="5" borderId="1" xfId="0" applyNumberFormat="1" applyFont="1" applyFill="1" applyBorder="1" applyAlignment="1">
      <alignment horizontal="right"/>
    </xf>
    <xf numFmtId="0" fontId="1" fillId="6" borderId="4" xfId="0" applyFont="1" applyFill="1" applyBorder="1" applyAlignment="1"/>
    <xf numFmtId="0" fontId="1" fillId="6" borderId="3" xfId="0" applyFont="1" applyFill="1" applyBorder="1" applyAlignment="1"/>
    <xf numFmtId="3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3"/>
  <sheetViews>
    <sheetView workbookViewId="0">
      <selection sqref="A1:AN3"/>
    </sheetView>
  </sheetViews>
  <sheetFormatPr defaultColWidth="21.7109375" defaultRowHeight="15"/>
  <sheetData>
    <row r="1" spans="1:40" ht="20.100000000000001" customHeight="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</row>
    <row r="2" spans="1:40" ht="20.100000000000001" customHeight="1">
      <c r="A2" s="5" t="s">
        <v>40</v>
      </c>
      <c r="B2" s="1">
        <v>18164</v>
      </c>
      <c r="C2" s="1">
        <v>18692</v>
      </c>
      <c r="D2" s="1">
        <v>20301</v>
      </c>
      <c r="E2" s="1">
        <v>21060</v>
      </c>
      <c r="F2" s="1">
        <v>21873</v>
      </c>
      <c r="G2" s="1">
        <v>22655</v>
      </c>
      <c r="H2" s="1">
        <v>24027</v>
      </c>
      <c r="I2" s="1">
        <v>25200</v>
      </c>
      <c r="J2" s="1">
        <v>25924</v>
      </c>
      <c r="K2" s="1">
        <v>28607</v>
      </c>
      <c r="L2" s="1">
        <v>30058</v>
      </c>
      <c r="M2" s="1">
        <v>31971</v>
      </c>
      <c r="N2" s="1">
        <v>32577</v>
      </c>
      <c r="O2" s="1">
        <v>33090</v>
      </c>
      <c r="P2" s="1">
        <v>34314</v>
      </c>
      <c r="Q2" s="1">
        <v>33251</v>
      </c>
      <c r="R2" s="1">
        <v>35217</v>
      </c>
      <c r="S2" s="1">
        <v>37726</v>
      </c>
      <c r="T2" s="1">
        <v>38285</v>
      </c>
      <c r="U2" s="1">
        <v>40510</v>
      </c>
      <c r="V2" s="1">
        <v>40602</v>
      </c>
      <c r="W2" s="1">
        <v>41619</v>
      </c>
      <c r="X2" s="1">
        <v>41685</v>
      </c>
      <c r="Y2" s="1">
        <v>42457</v>
      </c>
      <c r="Z2" s="1">
        <v>43301</v>
      </c>
      <c r="AA2" s="1">
        <v>44264</v>
      </c>
      <c r="AB2" s="1">
        <v>44347</v>
      </c>
      <c r="AC2" s="1">
        <v>45746</v>
      </c>
      <c r="AD2" s="1">
        <v>45419</v>
      </c>
      <c r="AE2" s="1">
        <v>47104</v>
      </c>
      <c r="AF2" s="1">
        <v>47768</v>
      </c>
      <c r="AG2" s="1">
        <v>48552</v>
      </c>
      <c r="AH2" s="1">
        <v>48428</v>
      </c>
      <c r="AI2" s="1">
        <v>49009</v>
      </c>
      <c r="AJ2" s="1">
        <v>49629</v>
      </c>
      <c r="AK2" s="1">
        <v>49797</v>
      </c>
      <c r="AL2" s="1">
        <v>51158</v>
      </c>
      <c r="AM2" s="1">
        <v>51686</v>
      </c>
      <c r="AN2" s="1">
        <v>51827</v>
      </c>
    </row>
    <row r="3" spans="1:40" ht="20.100000000000001" customHeight="1">
      <c r="A3" s="6" t="s">
        <v>41</v>
      </c>
      <c r="B3" s="1">
        <v>11220</v>
      </c>
      <c r="C3" s="1">
        <v>11182</v>
      </c>
      <c r="D3" s="1">
        <v>11754</v>
      </c>
      <c r="E3" s="1">
        <v>12143</v>
      </c>
      <c r="F3" s="1">
        <v>12239</v>
      </c>
      <c r="G3" s="1">
        <v>12824</v>
      </c>
      <c r="H3" s="1">
        <v>13423</v>
      </c>
      <c r="I3" s="1">
        <v>14138</v>
      </c>
      <c r="J3" s="1">
        <v>14255</v>
      </c>
      <c r="K3" s="1">
        <v>16246</v>
      </c>
      <c r="L3" s="1">
        <v>17149</v>
      </c>
      <c r="M3" s="1">
        <v>17933</v>
      </c>
      <c r="N3" s="1">
        <v>18469</v>
      </c>
      <c r="O3" s="1">
        <v>18700</v>
      </c>
      <c r="P3" s="1">
        <v>19454</v>
      </c>
      <c r="Q3" s="1">
        <v>18766</v>
      </c>
      <c r="R3" s="1">
        <v>19940</v>
      </c>
      <c r="S3" s="1">
        <v>21451</v>
      </c>
      <c r="T3" s="1">
        <v>21972</v>
      </c>
      <c r="U3" s="1">
        <v>23116</v>
      </c>
      <c r="V3" s="1">
        <v>23753</v>
      </c>
      <c r="W3" s="1">
        <v>23856</v>
      </c>
      <c r="X3" s="1">
        <v>24588</v>
      </c>
      <c r="Y3" s="1">
        <v>24312</v>
      </c>
      <c r="Z3" s="1">
        <v>25350</v>
      </c>
      <c r="AA3" s="1">
        <v>25590</v>
      </c>
      <c r="AB3" s="1">
        <v>26431</v>
      </c>
      <c r="AC3" s="1">
        <v>27401</v>
      </c>
      <c r="AD3" s="1">
        <v>27231</v>
      </c>
      <c r="AE3" s="1">
        <v>27886</v>
      </c>
      <c r="AF3" s="1">
        <v>28853</v>
      </c>
      <c r="AG3" s="1">
        <v>29350</v>
      </c>
      <c r="AH3" s="1">
        <v>29853</v>
      </c>
      <c r="AI3" s="1">
        <v>30720</v>
      </c>
      <c r="AJ3" s="1">
        <v>30691</v>
      </c>
      <c r="AK3" s="1">
        <v>30950</v>
      </c>
      <c r="AL3" s="1">
        <v>31686</v>
      </c>
      <c r="AM3" s="1">
        <v>32090</v>
      </c>
      <c r="AN3" s="1">
        <v>32536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2C9CC-F0F0-456E-81D1-2761AB1F23FC}">
  <dimension ref="A1:L47"/>
  <sheetViews>
    <sheetView tabSelected="1" topLeftCell="A25" workbookViewId="0">
      <selection activeCell="G48" sqref="G48"/>
    </sheetView>
  </sheetViews>
  <sheetFormatPr defaultRowHeight="15"/>
  <cols>
    <col min="2" max="2" width="12.28515625" bestFit="1" customWidth="1"/>
    <col min="7" max="7" width="14.5703125" customWidth="1"/>
    <col min="8" max="8" width="17" customWidth="1"/>
    <col min="10" max="10" width="16.5703125" customWidth="1"/>
    <col min="11" max="11" width="16.42578125" customWidth="1"/>
    <col min="12" max="12" width="42" customWidth="1"/>
  </cols>
  <sheetData>
    <row r="1" spans="1:12" ht="29.25" customHeight="1">
      <c r="A1" s="7" t="s">
        <v>42</v>
      </c>
      <c r="B1" s="7" t="s">
        <v>43</v>
      </c>
      <c r="C1" s="8" t="s">
        <v>40</v>
      </c>
      <c r="D1" s="9" t="s">
        <v>41</v>
      </c>
      <c r="E1" t="s">
        <v>44</v>
      </c>
      <c r="F1" t="s">
        <v>45</v>
      </c>
      <c r="G1" t="s">
        <v>46</v>
      </c>
      <c r="H1" t="s">
        <v>47</v>
      </c>
      <c r="J1" t="s">
        <v>48</v>
      </c>
      <c r="K1" t="s">
        <v>49</v>
      </c>
      <c r="L1" t="s">
        <v>50</v>
      </c>
    </row>
    <row r="2" spans="1:12">
      <c r="A2" s="14" t="s">
        <v>1</v>
      </c>
      <c r="B2" s="14">
        <v>0</v>
      </c>
      <c r="C2" s="10">
        <v>18164</v>
      </c>
      <c r="D2" s="11">
        <v>11220</v>
      </c>
      <c r="E2" s="16">
        <f>C2+D2</f>
        <v>29384</v>
      </c>
      <c r="F2" s="16">
        <f>C2-D2</f>
        <v>6944</v>
      </c>
      <c r="G2">
        <f>C2/D2</f>
        <v>1.6188948306595365</v>
      </c>
      <c r="H2">
        <f>C2/D2%</f>
        <v>161.88948306595364</v>
      </c>
      <c r="I2" s="16"/>
      <c r="J2">
        <f>C2/$E2</f>
        <v>0.61815954260822215</v>
      </c>
      <c r="K2">
        <f>D2/E2</f>
        <v>0.38184045739177785</v>
      </c>
      <c r="L2">
        <f>ROUNDUP(E2/$E$42, 3)</f>
        <v>1.3000000000000001E-2</v>
      </c>
    </row>
    <row r="3" spans="1:12">
      <c r="A3" s="14" t="s">
        <v>2</v>
      </c>
      <c r="B3" s="14">
        <v>0</v>
      </c>
      <c r="C3" s="10">
        <v>18692</v>
      </c>
      <c r="D3" s="11">
        <v>11182</v>
      </c>
      <c r="E3" s="16">
        <f>C3+D3</f>
        <v>29874</v>
      </c>
      <c r="F3" s="16">
        <f>C3-D3</f>
        <v>7510</v>
      </c>
      <c r="G3">
        <f>C3/D3</f>
        <v>1.6716150956895011</v>
      </c>
      <c r="H3">
        <f t="shared" ref="H3:H40" si="0">C3/D3%</f>
        <v>167.16150956895009</v>
      </c>
      <c r="I3" s="16"/>
      <c r="J3">
        <f t="shared" ref="J3:J40" si="1">C3/$E3</f>
        <v>0.62569458391912702</v>
      </c>
      <c r="K3">
        <f t="shared" ref="K3:K40" si="2">D3/E3</f>
        <v>0.37430541608087298</v>
      </c>
      <c r="L3">
        <f t="shared" ref="L3:L40" si="3">ROUND(E3/$E$42, 3)</f>
        <v>1.2999999999999999E-2</v>
      </c>
    </row>
    <row r="4" spans="1:12">
      <c r="A4" s="14" t="s">
        <v>3</v>
      </c>
      <c r="B4" s="14">
        <v>0</v>
      </c>
      <c r="C4" s="10">
        <v>20301</v>
      </c>
      <c r="D4" s="11">
        <v>11754</v>
      </c>
      <c r="E4" s="16">
        <f t="shared" ref="E4:E40" si="4">C4+D4</f>
        <v>32055</v>
      </c>
      <c r="F4" s="16">
        <f t="shared" ref="F4:F40" si="5">C4-D4</f>
        <v>8547</v>
      </c>
      <c r="G4">
        <f t="shared" ref="G4:G40" si="6">C4/D4</f>
        <v>1.7271567126084737</v>
      </c>
      <c r="H4">
        <f t="shared" si="0"/>
        <v>172.71567126084736</v>
      </c>
      <c r="I4" s="16"/>
      <c r="J4">
        <f t="shared" si="1"/>
        <v>0.63331773514272349</v>
      </c>
      <c r="K4">
        <f t="shared" si="2"/>
        <v>0.36668226485727656</v>
      </c>
      <c r="L4">
        <f t="shared" si="3"/>
        <v>1.4E-2</v>
      </c>
    </row>
    <row r="5" spans="1:12">
      <c r="A5" s="14" t="s">
        <v>4</v>
      </c>
      <c r="B5" s="14">
        <v>0</v>
      </c>
      <c r="C5" s="10">
        <v>21060</v>
      </c>
      <c r="D5" s="11">
        <v>12143</v>
      </c>
      <c r="E5" s="16">
        <f t="shared" si="4"/>
        <v>33203</v>
      </c>
      <c r="F5" s="16">
        <f t="shared" si="5"/>
        <v>8917</v>
      </c>
      <c r="G5">
        <f t="shared" si="6"/>
        <v>1.7343325372642675</v>
      </c>
      <c r="H5">
        <f t="shared" si="0"/>
        <v>173.43325372642673</v>
      </c>
      <c r="I5" s="16"/>
      <c r="J5">
        <f t="shared" si="1"/>
        <v>0.63428003493660212</v>
      </c>
      <c r="K5">
        <f t="shared" si="2"/>
        <v>0.36571996506339788</v>
      </c>
      <c r="L5">
        <f t="shared" si="3"/>
        <v>1.4E-2</v>
      </c>
    </row>
    <row r="6" spans="1:12">
      <c r="A6" s="14" t="s">
        <v>5</v>
      </c>
      <c r="B6" s="14">
        <v>0</v>
      </c>
      <c r="C6" s="10">
        <v>21873</v>
      </c>
      <c r="D6" s="11">
        <v>12239</v>
      </c>
      <c r="E6" s="16">
        <f t="shared" si="4"/>
        <v>34112</v>
      </c>
      <c r="F6" s="16">
        <f t="shared" si="5"/>
        <v>9634</v>
      </c>
      <c r="G6">
        <f t="shared" si="6"/>
        <v>1.7871558133834464</v>
      </c>
      <c r="H6">
        <f t="shared" si="0"/>
        <v>178.71558133834463</v>
      </c>
      <c r="I6" s="16"/>
      <c r="J6">
        <f t="shared" si="1"/>
        <v>0.64121130393996251</v>
      </c>
      <c r="K6">
        <f t="shared" si="2"/>
        <v>0.35878869606003755</v>
      </c>
      <c r="L6">
        <f t="shared" si="3"/>
        <v>1.4999999999999999E-2</v>
      </c>
    </row>
    <row r="7" spans="1:12">
      <c r="A7" s="14" t="s">
        <v>6</v>
      </c>
      <c r="B7" s="14">
        <v>0</v>
      </c>
      <c r="C7" s="10">
        <v>22655</v>
      </c>
      <c r="D7" s="11">
        <v>12824</v>
      </c>
      <c r="E7" s="16">
        <f t="shared" si="4"/>
        <v>35479</v>
      </c>
      <c r="F7" s="16">
        <f t="shared" si="5"/>
        <v>9831</v>
      </c>
      <c r="G7">
        <f t="shared" si="6"/>
        <v>1.766609482220836</v>
      </c>
      <c r="H7">
        <f t="shared" si="0"/>
        <v>176.66094822208359</v>
      </c>
      <c r="I7" s="16"/>
      <c r="J7">
        <f t="shared" si="1"/>
        <v>0.63854674596240024</v>
      </c>
      <c r="K7">
        <f t="shared" si="2"/>
        <v>0.3614532540375997</v>
      </c>
      <c r="L7">
        <f t="shared" si="3"/>
        <v>1.4999999999999999E-2</v>
      </c>
    </row>
    <row r="8" spans="1:12">
      <c r="A8" s="14" t="s">
        <v>7</v>
      </c>
      <c r="B8" s="14">
        <v>0</v>
      </c>
      <c r="C8" s="10">
        <v>24027</v>
      </c>
      <c r="D8" s="11">
        <v>13423</v>
      </c>
      <c r="E8" s="16">
        <f t="shared" si="4"/>
        <v>37450</v>
      </c>
      <c r="F8" s="16">
        <f t="shared" si="5"/>
        <v>10604</v>
      </c>
      <c r="G8">
        <f t="shared" si="6"/>
        <v>1.7899873351709752</v>
      </c>
      <c r="H8">
        <f t="shared" si="0"/>
        <v>178.99873351709752</v>
      </c>
      <c r="I8" s="16"/>
      <c r="J8">
        <f t="shared" si="1"/>
        <v>0.64157543391188254</v>
      </c>
      <c r="K8">
        <f t="shared" si="2"/>
        <v>0.35842456608811751</v>
      </c>
      <c r="L8">
        <f t="shared" si="3"/>
        <v>1.6E-2</v>
      </c>
    </row>
    <row r="9" spans="1:12">
      <c r="A9" s="14" t="s">
        <v>8</v>
      </c>
      <c r="B9" s="14">
        <v>0</v>
      </c>
      <c r="C9" s="10">
        <v>25200</v>
      </c>
      <c r="D9" s="11">
        <v>14138</v>
      </c>
      <c r="E9" s="16">
        <f t="shared" si="4"/>
        <v>39338</v>
      </c>
      <c r="F9" s="16">
        <f t="shared" si="5"/>
        <v>11062</v>
      </c>
      <c r="G9">
        <f t="shared" si="6"/>
        <v>1.7824303296081483</v>
      </c>
      <c r="H9">
        <f t="shared" si="0"/>
        <v>178.24303296081484</v>
      </c>
      <c r="I9" s="16"/>
      <c r="J9">
        <f t="shared" si="1"/>
        <v>0.6406019624790279</v>
      </c>
      <c r="K9">
        <f t="shared" si="2"/>
        <v>0.3593980375209721</v>
      </c>
      <c r="L9">
        <f t="shared" si="3"/>
        <v>1.7000000000000001E-2</v>
      </c>
    </row>
    <row r="10" spans="1:12">
      <c r="A10" s="14" t="s">
        <v>9</v>
      </c>
      <c r="B10" s="14">
        <v>0</v>
      </c>
      <c r="C10" s="10">
        <v>25924</v>
      </c>
      <c r="D10" s="11">
        <v>14255</v>
      </c>
      <c r="E10" s="16">
        <f t="shared" si="4"/>
        <v>40179</v>
      </c>
      <c r="F10" s="16">
        <f t="shared" si="5"/>
        <v>11669</v>
      </c>
      <c r="G10">
        <f t="shared" si="6"/>
        <v>1.8185899684321292</v>
      </c>
      <c r="H10">
        <f t="shared" si="0"/>
        <v>181.85899684321291</v>
      </c>
      <c r="J10">
        <f t="shared" si="1"/>
        <v>0.64521267328704046</v>
      </c>
      <c r="K10">
        <f t="shared" si="2"/>
        <v>0.35478732671295948</v>
      </c>
      <c r="L10">
        <f t="shared" si="3"/>
        <v>1.7000000000000001E-2</v>
      </c>
    </row>
    <row r="11" spans="1:12">
      <c r="A11" s="14" t="s">
        <v>10</v>
      </c>
      <c r="B11" s="14">
        <v>0</v>
      </c>
      <c r="C11" s="10">
        <v>28607</v>
      </c>
      <c r="D11" s="11">
        <v>16246</v>
      </c>
      <c r="E11" s="16">
        <f t="shared" si="4"/>
        <v>44853</v>
      </c>
      <c r="F11" s="16">
        <f t="shared" si="5"/>
        <v>12361</v>
      </c>
      <c r="G11">
        <f t="shared" si="6"/>
        <v>1.7608642127292873</v>
      </c>
      <c r="H11">
        <f t="shared" si="0"/>
        <v>176.0864212729287</v>
      </c>
      <c r="J11">
        <f t="shared" si="1"/>
        <v>0.63779457338416601</v>
      </c>
      <c r="K11">
        <f t="shared" si="2"/>
        <v>0.36220542661583394</v>
      </c>
      <c r="L11">
        <f t="shared" si="3"/>
        <v>1.9E-2</v>
      </c>
    </row>
    <row r="12" spans="1:12">
      <c r="A12" s="14" t="s">
        <v>11</v>
      </c>
      <c r="B12" s="14">
        <v>0</v>
      </c>
      <c r="C12" s="10">
        <v>30058</v>
      </c>
      <c r="D12" s="11">
        <v>17149</v>
      </c>
      <c r="E12" s="16">
        <f t="shared" si="4"/>
        <v>47207</v>
      </c>
      <c r="F12" s="16">
        <f t="shared" si="5"/>
        <v>12909</v>
      </c>
      <c r="G12">
        <f t="shared" si="6"/>
        <v>1.7527552626975333</v>
      </c>
      <c r="H12">
        <f t="shared" si="0"/>
        <v>175.27552626975333</v>
      </c>
      <c r="J12">
        <f t="shared" si="1"/>
        <v>0.63672760395704031</v>
      </c>
      <c r="K12">
        <f t="shared" si="2"/>
        <v>0.36327239604295974</v>
      </c>
      <c r="L12">
        <f t="shared" si="3"/>
        <v>0.02</v>
      </c>
    </row>
    <row r="13" spans="1:12">
      <c r="A13" s="14" t="s">
        <v>12</v>
      </c>
      <c r="B13" s="14">
        <v>0</v>
      </c>
      <c r="C13" s="10">
        <v>31971</v>
      </c>
      <c r="D13" s="11">
        <v>17933</v>
      </c>
      <c r="E13" s="16">
        <f t="shared" si="4"/>
        <v>49904</v>
      </c>
      <c r="F13" s="16">
        <f t="shared" si="5"/>
        <v>14038</v>
      </c>
      <c r="G13">
        <f t="shared" si="6"/>
        <v>1.7828026543244297</v>
      </c>
      <c r="H13">
        <f t="shared" si="0"/>
        <v>178.28026543244297</v>
      </c>
      <c r="J13">
        <f t="shared" si="1"/>
        <v>0.64065004809233728</v>
      </c>
      <c r="K13">
        <f t="shared" si="2"/>
        <v>0.35934995190766272</v>
      </c>
      <c r="L13">
        <f t="shared" si="3"/>
        <v>2.1999999999999999E-2</v>
      </c>
    </row>
    <row r="14" spans="1:12">
      <c r="A14" s="14" t="s">
        <v>13</v>
      </c>
      <c r="B14" s="14">
        <v>0</v>
      </c>
      <c r="C14" s="10">
        <v>32577</v>
      </c>
      <c r="D14" s="11">
        <v>18469</v>
      </c>
      <c r="E14" s="16">
        <f t="shared" si="4"/>
        <v>51046</v>
      </c>
      <c r="F14" s="16">
        <f t="shared" si="5"/>
        <v>14108</v>
      </c>
      <c r="G14">
        <f t="shared" si="6"/>
        <v>1.7638746006822243</v>
      </c>
      <c r="H14">
        <f t="shared" si="0"/>
        <v>176.38746006822242</v>
      </c>
      <c r="J14">
        <f t="shared" si="1"/>
        <v>0.63818908435528743</v>
      </c>
      <c r="K14">
        <f t="shared" si="2"/>
        <v>0.36181091564471263</v>
      </c>
      <c r="L14">
        <f t="shared" si="3"/>
        <v>2.1999999999999999E-2</v>
      </c>
    </row>
    <row r="15" spans="1:12">
      <c r="A15" s="14" t="s">
        <v>14</v>
      </c>
      <c r="B15" s="14">
        <v>0</v>
      </c>
      <c r="C15" s="10">
        <v>33090</v>
      </c>
      <c r="D15" s="11">
        <v>18700</v>
      </c>
      <c r="E15" s="16">
        <f t="shared" si="4"/>
        <v>51790</v>
      </c>
      <c r="F15" s="16">
        <f t="shared" si="5"/>
        <v>14390</v>
      </c>
      <c r="G15">
        <f t="shared" si="6"/>
        <v>1.7695187165775401</v>
      </c>
      <c r="H15">
        <f t="shared" si="0"/>
        <v>176.951871657754</v>
      </c>
      <c r="J15">
        <f t="shared" si="1"/>
        <v>0.63892643367445456</v>
      </c>
      <c r="K15">
        <f t="shared" si="2"/>
        <v>0.36107356632554549</v>
      </c>
      <c r="L15">
        <f t="shared" si="3"/>
        <v>2.1999999999999999E-2</v>
      </c>
    </row>
    <row r="16" spans="1:12">
      <c r="A16" s="14" t="s">
        <v>15</v>
      </c>
      <c r="B16" s="14">
        <v>0</v>
      </c>
      <c r="C16" s="10">
        <v>34314</v>
      </c>
      <c r="D16" s="11">
        <v>19454</v>
      </c>
      <c r="E16" s="16">
        <f t="shared" si="4"/>
        <v>53768</v>
      </c>
      <c r="F16" s="16">
        <f t="shared" si="5"/>
        <v>14860</v>
      </c>
      <c r="G16">
        <f t="shared" si="6"/>
        <v>1.7638531921455742</v>
      </c>
      <c r="H16">
        <f t="shared" si="0"/>
        <v>176.38531921455743</v>
      </c>
      <c r="J16">
        <f t="shared" si="1"/>
        <v>0.63818628180330306</v>
      </c>
      <c r="K16">
        <f t="shared" si="2"/>
        <v>0.36181371819669694</v>
      </c>
      <c r="L16">
        <f t="shared" si="3"/>
        <v>2.3E-2</v>
      </c>
    </row>
    <row r="17" spans="1:12">
      <c r="A17" s="14" t="s">
        <v>16</v>
      </c>
      <c r="B17" s="14">
        <v>0</v>
      </c>
      <c r="C17" s="10">
        <v>33251</v>
      </c>
      <c r="D17" s="11">
        <v>18766</v>
      </c>
      <c r="E17" s="16">
        <f t="shared" si="4"/>
        <v>52017</v>
      </c>
      <c r="F17" s="16">
        <f t="shared" si="5"/>
        <v>14485</v>
      </c>
      <c r="G17">
        <f t="shared" si="6"/>
        <v>1.7718746669508685</v>
      </c>
      <c r="H17">
        <f t="shared" si="0"/>
        <v>177.18746669508687</v>
      </c>
      <c r="J17">
        <f t="shared" si="1"/>
        <v>0.63923332756598805</v>
      </c>
      <c r="K17">
        <f t="shared" si="2"/>
        <v>0.36076667243401195</v>
      </c>
      <c r="L17">
        <f t="shared" si="3"/>
        <v>2.1999999999999999E-2</v>
      </c>
    </row>
    <row r="18" spans="1:12">
      <c r="A18" s="14" t="s">
        <v>17</v>
      </c>
      <c r="B18" s="14">
        <v>0</v>
      </c>
      <c r="C18" s="10">
        <v>35217</v>
      </c>
      <c r="D18" s="11">
        <v>19940</v>
      </c>
      <c r="E18" s="16">
        <f t="shared" si="4"/>
        <v>55157</v>
      </c>
      <c r="F18" s="16">
        <f t="shared" si="5"/>
        <v>15277</v>
      </c>
      <c r="G18">
        <f t="shared" si="6"/>
        <v>1.7661484453360081</v>
      </c>
      <c r="H18">
        <f t="shared" si="0"/>
        <v>176.6148445336008</v>
      </c>
      <c r="J18">
        <f t="shared" si="1"/>
        <v>0.63848650216654279</v>
      </c>
      <c r="K18">
        <f t="shared" si="2"/>
        <v>0.36151349783345721</v>
      </c>
      <c r="L18">
        <f t="shared" si="3"/>
        <v>2.4E-2</v>
      </c>
    </row>
    <row r="19" spans="1:12">
      <c r="A19" s="14" t="s">
        <v>18</v>
      </c>
      <c r="B19" s="14">
        <v>1</v>
      </c>
      <c r="C19" s="10">
        <v>37726</v>
      </c>
      <c r="D19" s="11">
        <v>21451</v>
      </c>
      <c r="E19" s="16">
        <f t="shared" si="4"/>
        <v>59177</v>
      </c>
      <c r="F19" s="16">
        <f t="shared" si="5"/>
        <v>16275</v>
      </c>
      <c r="G19">
        <f t="shared" si="6"/>
        <v>1.7587058878373969</v>
      </c>
      <c r="H19">
        <f t="shared" si="0"/>
        <v>175.87058878373969</v>
      </c>
      <c r="J19">
        <f t="shared" si="1"/>
        <v>0.63751119522787569</v>
      </c>
      <c r="K19">
        <f t="shared" si="2"/>
        <v>0.36248880477212431</v>
      </c>
      <c r="L19">
        <f t="shared" si="3"/>
        <v>2.5999999999999999E-2</v>
      </c>
    </row>
    <row r="20" spans="1:12">
      <c r="A20" s="14" t="s">
        <v>19</v>
      </c>
      <c r="B20" s="14">
        <v>1</v>
      </c>
      <c r="C20" s="10">
        <v>38285</v>
      </c>
      <c r="D20" s="11">
        <v>21972</v>
      </c>
      <c r="E20" s="16">
        <f t="shared" si="4"/>
        <v>60257</v>
      </c>
      <c r="F20" s="16">
        <f t="shared" si="5"/>
        <v>16313</v>
      </c>
      <c r="G20">
        <f t="shared" si="6"/>
        <v>1.7424449299107956</v>
      </c>
      <c r="H20">
        <f t="shared" si="0"/>
        <v>174.24449299107957</v>
      </c>
      <c r="J20">
        <f t="shared" si="1"/>
        <v>0.63536186667109218</v>
      </c>
      <c r="K20">
        <f t="shared" si="2"/>
        <v>0.36463813332890782</v>
      </c>
      <c r="L20">
        <f t="shared" si="3"/>
        <v>2.5999999999999999E-2</v>
      </c>
    </row>
    <row r="21" spans="1:12">
      <c r="A21" s="14" t="s">
        <v>20</v>
      </c>
      <c r="B21" s="14">
        <v>1</v>
      </c>
      <c r="C21" s="10">
        <v>40510</v>
      </c>
      <c r="D21" s="11">
        <v>23116</v>
      </c>
      <c r="E21" s="16">
        <f t="shared" si="4"/>
        <v>63626</v>
      </c>
      <c r="F21" s="16">
        <f t="shared" si="5"/>
        <v>17394</v>
      </c>
      <c r="G21">
        <f t="shared" si="6"/>
        <v>1.7524658245371172</v>
      </c>
      <c r="H21">
        <f t="shared" si="0"/>
        <v>175.24658245371171</v>
      </c>
      <c r="J21">
        <f t="shared" si="1"/>
        <v>0.63668940370288873</v>
      </c>
      <c r="K21">
        <f t="shared" si="2"/>
        <v>0.36331059629711127</v>
      </c>
      <c r="L21">
        <f t="shared" si="3"/>
        <v>2.7E-2</v>
      </c>
    </row>
    <row r="22" spans="1:12">
      <c r="A22" s="14" t="s">
        <v>21</v>
      </c>
      <c r="B22" s="14">
        <v>1</v>
      </c>
      <c r="C22" s="10">
        <v>40602</v>
      </c>
      <c r="D22" s="11">
        <v>23753</v>
      </c>
      <c r="E22" s="16">
        <f t="shared" si="4"/>
        <v>64355</v>
      </c>
      <c r="F22" s="16">
        <f t="shared" si="5"/>
        <v>16849</v>
      </c>
      <c r="G22">
        <f t="shared" si="6"/>
        <v>1.7093419778554289</v>
      </c>
      <c r="H22">
        <f t="shared" si="0"/>
        <v>170.93419778554286</v>
      </c>
      <c r="J22">
        <f t="shared" si="1"/>
        <v>0.63090668945691863</v>
      </c>
      <c r="K22">
        <f t="shared" si="2"/>
        <v>0.36909331054308137</v>
      </c>
      <c r="L22">
        <f t="shared" si="3"/>
        <v>2.8000000000000001E-2</v>
      </c>
    </row>
    <row r="23" spans="1:12">
      <c r="A23" s="14" t="s">
        <v>22</v>
      </c>
      <c r="B23" s="14">
        <v>1</v>
      </c>
      <c r="C23" s="10">
        <v>41619</v>
      </c>
      <c r="D23" s="11">
        <v>23856</v>
      </c>
      <c r="E23" s="16">
        <f t="shared" si="4"/>
        <v>65475</v>
      </c>
      <c r="F23" s="16">
        <f t="shared" si="5"/>
        <v>17763</v>
      </c>
      <c r="G23">
        <f t="shared" si="6"/>
        <v>1.7445925553319919</v>
      </c>
      <c r="H23">
        <f t="shared" si="0"/>
        <v>174.45925553319918</v>
      </c>
      <c r="J23">
        <f t="shared" si="1"/>
        <v>0.63564719358533794</v>
      </c>
      <c r="K23">
        <f t="shared" si="2"/>
        <v>0.36435280641466211</v>
      </c>
      <c r="L23">
        <f t="shared" si="3"/>
        <v>2.8000000000000001E-2</v>
      </c>
    </row>
    <row r="24" spans="1:12">
      <c r="A24" s="14" t="s">
        <v>23</v>
      </c>
      <c r="B24" s="14">
        <v>1</v>
      </c>
      <c r="C24" s="10">
        <v>41685</v>
      </c>
      <c r="D24" s="11">
        <v>24588</v>
      </c>
      <c r="E24" s="16">
        <f t="shared" si="4"/>
        <v>66273</v>
      </c>
      <c r="F24" s="16">
        <f t="shared" si="5"/>
        <v>17097</v>
      </c>
      <c r="G24">
        <f t="shared" si="6"/>
        <v>1.6953391898487067</v>
      </c>
      <c r="H24">
        <f t="shared" si="0"/>
        <v>169.53391898487067</v>
      </c>
      <c r="J24">
        <f t="shared" si="1"/>
        <v>0.62898918111448099</v>
      </c>
      <c r="K24">
        <f t="shared" si="2"/>
        <v>0.37101081888551901</v>
      </c>
      <c r="L24">
        <f t="shared" si="3"/>
        <v>2.9000000000000001E-2</v>
      </c>
    </row>
    <row r="25" spans="1:12">
      <c r="A25" s="14" t="s">
        <v>24</v>
      </c>
      <c r="B25" s="14">
        <v>1</v>
      </c>
      <c r="C25" s="10">
        <v>42457</v>
      </c>
      <c r="D25" s="11">
        <v>24312</v>
      </c>
      <c r="E25" s="16">
        <f t="shared" si="4"/>
        <v>66769</v>
      </c>
      <c r="F25" s="16">
        <f t="shared" si="5"/>
        <v>18145</v>
      </c>
      <c r="G25">
        <f t="shared" si="6"/>
        <v>1.7463392563343205</v>
      </c>
      <c r="H25">
        <f t="shared" si="0"/>
        <v>174.63392563343206</v>
      </c>
      <c r="J25">
        <f t="shared" si="1"/>
        <v>0.63587892584882211</v>
      </c>
      <c r="K25">
        <f t="shared" si="2"/>
        <v>0.36412107415117795</v>
      </c>
      <c r="L25">
        <f t="shared" si="3"/>
        <v>2.9000000000000001E-2</v>
      </c>
    </row>
    <row r="26" spans="1:12">
      <c r="A26" s="14" t="s">
        <v>25</v>
      </c>
      <c r="B26" s="14">
        <v>1</v>
      </c>
      <c r="C26" s="10">
        <v>43301</v>
      </c>
      <c r="D26" s="11">
        <v>25350</v>
      </c>
      <c r="E26" s="16">
        <f t="shared" si="4"/>
        <v>68651</v>
      </c>
      <c r="F26" s="16">
        <f t="shared" si="5"/>
        <v>17951</v>
      </c>
      <c r="G26">
        <f t="shared" si="6"/>
        <v>1.7081262327416173</v>
      </c>
      <c r="H26">
        <f t="shared" si="0"/>
        <v>170.81262327416172</v>
      </c>
      <c r="J26">
        <f t="shared" si="1"/>
        <v>0.63074099430452579</v>
      </c>
      <c r="K26">
        <f t="shared" si="2"/>
        <v>0.36925900569547421</v>
      </c>
      <c r="L26">
        <f t="shared" si="3"/>
        <v>0.03</v>
      </c>
    </row>
    <row r="27" spans="1:12">
      <c r="A27" s="14" t="s">
        <v>26</v>
      </c>
      <c r="B27" s="14">
        <v>1</v>
      </c>
      <c r="C27" s="10">
        <v>44264</v>
      </c>
      <c r="D27" s="11">
        <v>25590</v>
      </c>
      <c r="E27" s="16">
        <f t="shared" si="4"/>
        <v>69854</v>
      </c>
      <c r="F27" s="16">
        <f t="shared" si="5"/>
        <v>18674</v>
      </c>
      <c r="G27">
        <f t="shared" si="6"/>
        <v>1.7297381789761626</v>
      </c>
      <c r="H27">
        <f t="shared" si="0"/>
        <v>172.97381789761624</v>
      </c>
      <c r="J27">
        <f t="shared" si="1"/>
        <v>0.63366450024336474</v>
      </c>
      <c r="K27">
        <f t="shared" si="2"/>
        <v>0.36633549975663526</v>
      </c>
      <c r="L27">
        <f t="shared" si="3"/>
        <v>0.03</v>
      </c>
    </row>
    <row r="28" spans="1:12">
      <c r="A28" s="14" t="s">
        <v>27</v>
      </c>
      <c r="B28" s="14">
        <v>1</v>
      </c>
      <c r="C28" s="10">
        <v>44347</v>
      </c>
      <c r="D28" s="11">
        <v>26431</v>
      </c>
      <c r="E28" s="16">
        <f t="shared" si="4"/>
        <v>70778</v>
      </c>
      <c r="F28" s="16">
        <f t="shared" si="5"/>
        <v>17916</v>
      </c>
      <c r="G28">
        <f t="shared" si="6"/>
        <v>1.6778404146645984</v>
      </c>
      <c r="H28">
        <f t="shared" si="0"/>
        <v>167.78404146645983</v>
      </c>
      <c r="J28">
        <f t="shared" si="1"/>
        <v>0.62656475175902115</v>
      </c>
      <c r="K28">
        <f t="shared" si="2"/>
        <v>0.37343524824097885</v>
      </c>
      <c r="L28">
        <f t="shared" si="3"/>
        <v>3.1E-2</v>
      </c>
    </row>
    <row r="29" spans="1:12">
      <c r="A29" s="14" t="s">
        <v>28</v>
      </c>
      <c r="B29" s="14">
        <v>1</v>
      </c>
      <c r="C29" s="10">
        <v>45746</v>
      </c>
      <c r="D29" s="11">
        <v>27401</v>
      </c>
      <c r="E29" s="16">
        <f t="shared" si="4"/>
        <v>73147</v>
      </c>
      <c r="F29" s="16">
        <f t="shared" si="5"/>
        <v>18345</v>
      </c>
      <c r="G29">
        <f t="shared" si="6"/>
        <v>1.6695011130980622</v>
      </c>
      <c r="H29">
        <f t="shared" si="0"/>
        <v>166.9501113098062</v>
      </c>
      <c r="J29">
        <f t="shared" si="1"/>
        <v>0.62539817080673166</v>
      </c>
      <c r="K29">
        <f t="shared" si="2"/>
        <v>0.37460182919326834</v>
      </c>
      <c r="L29">
        <f t="shared" si="3"/>
        <v>3.2000000000000001E-2</v>
      </c>
    </row>
    <row r="30" spans="1:12">
      <c r="A30" s="14" t="s">
        <v>29</v>
      </c>
      <c r="B30" s="14">
        <v>1</v>
      </c>
      <c r="C30" s="10">
        <v>45419</v>
      </c>
      <c r="D30" s="11">
        <v>27231</v>
      </c>
      <c r="E30" s="16">
        <f t="shared" si="4"/>
        <v>72650</v>
      </c>
      <c r="F30" s="16">
        <f t="shared" si="5"/>
        <v>18188</v>
      </c>
      <c r="G30">
        <f t="shared" si="6"/>
        <v>1.6679152436561273</v>
      </c>
      <c r="H30">
        <f t="shared" si="0"/>
        <v>166.79152436561273</v>
      </c>
      <c r="J30">
        <f t="shared" si="1"/>
        <v>0.62517549896765312</v>
      </c>
      <c r="K30">
        <f t="shared" si="2"/>
        <v>0.37482450103234688</v>
      </c>
      <c r="L30">
        <f t="shared" si="3"/>
        <v>3.1E-2</v>
      </c>
    </row>
    <row r="31" spans="1:12">
      <c r="A31" s="14" t="s">
        <v>30</v>
      </c>
      <c r="B31" s="14">
        <v>1</v>
      </c>
      <c r="C31" s="10">
        <v>47104</v>
      </c>
      <c r="D31" s="11">
        <v>27886</v>
      </c>
      <c r="E31" s="16">
        <f t="shared" si="4"/>
        <v>74990</v>
      </c>
      <c r="F31" s="16">
        <f t="shared" si="5"/>
        <v>19218</v>
      </c>
      <c r="G31">
        <f t="shared" si="6"/>
        <v>1.6891630208706878</v>
      </c>
      <c r="H31">
        <f t="shared" si="0"/>
        <v>168.91630208706877</v>
      </c>
      <c r="J31">
        <f t="shared" si="1"/>
        <v>0.62813708494465925</v>
      </c>
      <c r="K31">
        <f t="shared" si="2"/>
        <v>0.37186291505534069</v>
      </c>
      <c r="L31">
        <f t="shared" si="3"/>
        <v>3.2000000000000001E-2</v>
      </c>
    </row>
    <row r="32" spans="1:12">
      <c r="A32" s="14" t="s">
        <v>31</v>
      </c>
      <c r="B32" s="14">
        <v>1</v>
      </c>
      <c r="C32" s="10">
        <v>47768</v>
      </c>
      <c r="D32" s="11">
        <v>28853</v>
      </c>
      <c r="E32" s="16">
        <f t="shared" si="4"/>
        <v>76621</v>
      </c>
      <c r="F32" s="16">
        <f t="shared" si="5"/>
        <v>18915</v>
      </c>
      <c r="G32">
        <f t="shared" si="6"/>
        <v>1.6555644127127163</v>
      </c>
      <c r="H32">
        <f t="shared" si="0"/>
        <v>165.55644127127164</v>
      </c>
      <c r="J32">
        <f t="shared" si="1"/>
        <v>0.62343221832134799</v>
      </c>
      <c r="K32">
        <f t="shared" si="2"/>
        <v>0.37656778167865207</v>
      </c>
      <c r="L32">
        <f t="shared" si="3"/>
        <v>3.3000000000000002E-2</v>
      </c>
    </row>
    <row r="33" spans="1:12">
      <c r="A33" s="14" t="s">
        <v>32</v>
      </c>
      <c r="B33" s="14">
        <v>1</v>
      </c>
      <c r="C33" s="10">
        <v>48552</v>
      </c>
      <c r="D33" s="11">
        <v>29350</v>
      </c>
      <c r="E33" s="16">
        <f t="shared" si="4"/>
        <v>77902</v>
      </c>
      <c r="F33" s="16">
        <f t="shared" si="5"/>
        <v>19202</v>
      </c>
      <c r="G33">
        <f t="shared" si="6"/>
        <v>1.6542419080068143</v>
      </c>
      <c r="H33">
        <f t="shared" si="0"/>
        <v>165.42419080068143</v>
      </c>
      <c r="J33">
        <f t="shared" si="1"/>
        <v>0.62324458935585736</v>
      </c>
      <c r="K33">
        <f t="shared" si="2"/>
        <v>0.37675541064414264</v>
      </c>
      <c r="L33">
        <f t="shared" si="3"/>
        <v>3.4000000000000002E-2</v>
      </c>
    </row>
    <row r="34" spans="1:12">
      <c r="A34" s="14" t="s">
        <v>33</v>
      </c>
      <c r="B34" s="14">
        <v>1</v>
      </c>
      <c r="C34" s="10">
        <v>48428</v>
      </c>
      <c r="D34" s="11">
        <v>29853</v>
      </c>
      <c r="E34" s="16">
        <f t="shared" si="4"/>
        <v>78281</v>
      </c>
      <c r="F34" s="16">
        <f t="shared" si="5"/>
        <v>18575</v>
      </c>
      <c r="G34">
        <f t="shared" si="6"/>
        <v>1.6222155227280339</v>
      </c>
      <c r="H34">
        <f t="shared" si="0"/>
        <v>162.22155227280342</v>
      </c>
      <c r="J34">
        <f t="shared" si="1"/>
        <v>0.61864309347095714</v>
      </c>
      <c r="K34">
        <f t="shared" si="2"/>
        <v>0.38135690652904281</v>
      </c>
      <c r="L34">
        <f t="shared" si="3"/>
        <v>3.4000000000000002E-2</v>
      </c>
    </row>
    <row r="35" spans="1:12">
      <c r="A35" s="14" t="s">
        <v>34</v>
      </c>
      <c r="B35" s="14">
        <v>1</v>
      </c>
      <c r="C35" s="10">
        <v>49009</v>
      </c>
      <c r="D35" s="11">
        <v>30720</v>
      </c>
      <c r="E35" s="16">
        <f t="shared" si="4"/>
        <v>79729</v>
      </c>
      <c r="F35" s="16">
        <f t="shared" si="5"/>
        <v>18289</v>
      </c>
      <c r="G35">
        <f t="shared" si="6"/>
        <v>1.5953450520833334</v>
      </c>
      <c r="H35">
        <f t="shared" si="0"/>
        <v>159.53450520833334</v>
      </c>
      <c r="J35">
        <f t="shared" si="1"/>
        <v>0.61469477856238008</v>
      </c>
      <c r="K35">
        <f t="shared" si="2"/>
        <v>0.38530522143761992</v>
      </c>
      <c r="L35">
        <f t="shared" si="3"/>
        <v>3.4000000000000002E-2</v>
      </c>
    </row>
    <row r="36" spans="1:12">
      <c r="A36" s="14" t="s">
        <v>35</v>
      </c>
      <c r="B36" s="14">
        <v>1</v>
      </c>
      <c r="C36" s="10">
        <v>49629</v>
      </c>
      <c r="D36" s="11">
        <v>30691</v>
      </c>
      <c r="E36" s="16">
        <f t="shared" si="4"/>
        <v>80320</v>
      </c>
      <c r="F36" s="16">
        <f t="shared" si="5"/>
        <v>18938</v>
      </c>
      <c r="G36">
        <f t="shared" si="6"/>
        <v>1.6170538594376203</v>
      </c>
      <c r="H36">
        <f t="shared" si="0"/>
        <v>161.705385943762</v>
      </c>
      <c r="J36">
        <f t="shared" si="1"/>
        <v>0.61789093625498004</v>
      </c>
      <c r="K36">
        <f t="shared" si="2"/>
        <v>0.38210906374501991</v>
      </c>
      <c r="L36">
        <f t="shared" si="3"/>
        <v>3.5000000000000003E-2</v>
      </c>
    </row>
    <row r="37" spans="1:12">
      <c r="A37" s="14" t="s">
        <v>36</v>
      </c>
      <c r="B37" s="14">
        <v>1</v>
      </c>
      <c r="C37" s="10">
        <v>49797</v>
      </c>
      <c r="D37" s="11">
        <v>30950</v>
      </c>
      <c r="E37" s="16">
        <f t="shared" si="4"/>
        <v>80747</v>
      </c>
      <c r="F37" s="16">
        <f t="shared" si="5"/>
        <v>18847</v>
      </c>
      <c r="G37">
        <f t="shared" si="6"/>
        <v>1.6089499192245558</v>
      </c>
      <c r="H37">
        <f t="shared" si="0"/>
        <v>160.89499192245557</v>
      </c>
      <c r="J37">
        <f t="shared" si="1"/>
        <v>0.61670402615577047</v>
      </c>
      <c r="K37">
        <f t="shared" si="2"/>
        <v>0.38329597384422953</v>
      </c>
      <c r="L37">
        <f t="shared" si="3"/>
        <v>3.5000000000000003E-2</v>
      </c>
    </row>
    <row r="38" spans="1:12">
      <c r="A38" s="14" t="s">
        <v>37</v>
      </c>
      <c r="B38" s="14">
        <v>1</v>
      </c>
      <c r="C38" s="10">
        <v>51158</v>
      </c>
      <c r="D38" s="11">
        <v>31686</v>
      </c>
      <c r="E38" s="16">
        <f t="shared" si="4"/>
        <v>82844</v>
      </c>
      <c r="F38" s="16">
        <f t="shared" si="5"/>
        <v>19472</v>
      </c>
      <c r="G38">
        <f t="shared" si="6"/>
        <v>1.6145300763744241</v>
      </c>
      <c r="H38">
        <f t="shared" si="0"/>
        <v>161.4530076374424</v>
      </c>
      <c r="J38">
        <f t="shared" si="1"/>
        <v>0.61752208971078171</v>
      </c>
      <c r="K38">
        <f t="shared" si="2"/>
        <v>0.38247791028921829</v>
      </c>
      <c r="L38">
        <f t="shared" si="3"/>
        <v>3.5999999999999997E-2</v>
      </c>
    </row>
    <row r="39" spans="1:12">
      <c r="A39" s="14" t="s">
        <v>38</v>
      </c>
      <c r="B39" s="14">
        <v>1</v>
      </c>
      <c r="C39" s="10">
        <v>51686</v>
      </c>
      <c r="D39" s="11">
        <v>32090</v>
      </c>
      <c r="E39" s="16">
        <f t="shared" si="4"/>
        <v>83776</v>
      </c>
      <c r="F39" s="16">
        <f t="shared" si="5"/>
        <v>19596</v>
      </c>
      <c r="G39">
        <f t="shared" si="6"/>
        <v>1.6106575257089435</v>
      </c>
      <c r="H39">
        <f t="shared" si="0"/>
        <v>161.06575257089438</v>
      </c>
      <c r="J39">
        <f t="shared" si="1"/>
        <v>0.61695473644003052</v>
      </c>
      <c r="K39">
        <f t="shared" si="2"/>
        <v>0.38304526355996943</v>
      </c>
      <c r="L39">
        <f t="shared" si="3"/>
        <v>3.5999999999999997E-2</v>
      </c>
    </row>
    <row r="40" spans="1:12">
      <c r="A40" s="15" t="s">
        <v>39</v>
      </c>
      <c r="B40" s="15">
        <v>1</v>
      </c>
      <c r="C40" s="12">
        <v>51827</v>
      </c>
      <c r="D40" s="13">
        <v>32536</v>
      </c>
      <c r="E40" s="16">
        <f t="shared" si="4"/>
        <v>84363</v>
      </c>
      <c r="F40" s="16">
        <f t="shared" si="5"/>
        <v>19291</v>
      </c>
      <c r="G40">
        <f t="shared" si="6"/>
        <v>1.5929124661912959</v>
      </c>
      <c r="H40">
        <f t="shared" si="0"/>
        <v>159.29124661912957</v>
      </c>
      <c r="J40">
        <f t="shared" si="1"/>
        <v>0.61433329777272028</v>
      </c>
      <c r="K40">
        <f t="shared" si="2"/>
        <v>0.38566670222727972</v>
      </c>
      <c r="L40">
        <f t="shared" si="3"/>
        <v>3.5999999999999997E-2</v>
      </c>
    </row>
    <row r="42" spans="1:12">
      <c r="A42" t="s">
        <v>51</v>
      </c>
      <c r="C42" s="16">
        <f>SUM(C2:C41)</f>
        <v>1457900</v>
      </c>
      <c r="D42" s="16">
        <f>SUM(D2:D40)</f>
        <v>859501</v>
      </c>
      <c r="E42" s="16">
        <f>SUM(E2:E40)</f>
        <v>2317401</v>
      </c>
      <c r="I42" t="s">
        <v>52</v>
      </c>
      <c r="J42">
        <f>COUNT(J2:J40)</f>
        <v>39</v>
      </c>
    </row>
    <row r="43" spans="1:12">
      <c r="A43" t="s">
        <v>53</v>
      </c>
      <c r="C43" s="16">
        <f>AVERAGE(C2:C40)</f>
        <v>37382.051282051281</v>
      </c>
      <c r="D43" s="16">
        <f>AVERAGE(D2:D40)</f>
        <v>22038.48717948718</v>
      </c>
      <c r="I43" t="s">
        <v>54</v>
      </c>
      <c r="J43">
        <f>SMALL(J2:J40, 2)</f>
        <v>0.61469477856238008</v>
      </c>
    </row>
    <row r="44" spans="1:12">
      <c r="I44" t="s">
        <v>55</v>
      </c>
      <c r="J44">
        <f>LARGE(J2:J40, 3)</f>
        <v>0.64121130393996251</v>
      </c>
    </row>
    <row r="46" spans="1:12">
      <c r="I46" t="s">
        <v>56</v>
      </c>
      <c r="J46">
        <f>MIN(J2:J40)</f>
        <v>0.61433329777272028</v>
      </c>
    </row>
    <row r="47" spans="1:12">
      <c r="I47" t="s">
        <v>57</v>
      </c>
      <c r="J47">
        <f>MAX(J2:J40)</f>
        <v>0.64521267328704046</v>
      </c>
    </row>
  </sheetData>
  <autoFilter ref="A1:D40" xr:uid="{5AD2C9CC-F0F0-456E-81D1-2761AB1F23FC}"/>
  <sortState xmlns:xlrd2="http://schemas.microsoft.com/office/spreadsheetml/2017/richdata2" ref="A2:D40">
    <sortCondition ref="A2:A4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8"/>
  <sheetViews>
    <sheetView workbookViewId="0"/>
  </sheetViews>
  <sheetFormatPr defaultRowHeight="15"/>
  <sheetData>
    <row r="1" spans="1:2">
      <c r="A1" s="2" t="s">
        <v>58</v>
      </c>
      <c r="B1" s="2" t="s">
        <v>59</v>
      </c>
    </row>
    <row r="2" spans="1:2">
      <c r="A2" s="2" t="s">
        <v>60</v>
      </c>
      <c r="B2" s="2" t="s">
        <v>61</v>
      </c>
    </row>
    <row r="3" spans="1:2">
      <c r="A3" s="2" t="s">
        <v>62</v>
      </c>
      <c r="B3" s="2" t="s">
        <v>63</v>
      </c>
    </row>
    <row r="4" spans="1:2">
      <c r="A4" s="2" t="s">
        <v>64</v>
      </c>
      <c r="B4" s="2" t="s">
        <v>65</v>
      </c>
    </row>
    <row r="5" spans="1:2">
      <c r="A5" s="2" t="s">
        <v>66</v>
      </c>
      <c r="B5" s="2" t="s">
        <v>67</v>
      </c>
    </row>
    <row r="6" spans="1:2">
      <c r="A6" s="2" t="s">
        <v>68</v>
      </c>
      <c r="B6" s="2" t="s">
        <v>69</v>
      </c>
    </row>
    <row r="7" spans="1:2">
      <c r="A7" s="2" t="s">
        <v>70</v>
      </c>
      <c r="B7" s="2" t="s">
        <v>71</v>
      </c>
    </row>
    <row r="8" spans="1:2">
      <c r="A8" s="2" t="s">
        <v>72</v>
      </c>
      <c r="B8" s="2" t="s">
        <v>73</v>
      </c>
    </row>
    <row r="9" spans="1:2">
      <c r="A9" s="2" t="s">
        <v>74</v>
      </c>
    </row>
    <row r="10" spans="1:2">
      <c r="A10" s="2" t="s">
        <v>75</v>
      </c>
      <c r="B10" s="2" t="s">
        <v>76</v>
      </c>
    </row>
    <row r="11" spans="1:2">
      <c r="A11" s="2" t="s">
        <v>70</v>
      </c>
      <c r="B11" s="2" t="s">
        <v>77</v>
      </c>
    </row>
    <row r="12" spans="1:2">
      <c r="A12" s="2" t="s">
        <v>70</v>
      </c>
      <c r="B12" s="2" t="s">
        <v>78</v>
      </c>
    </row>
    <row r="13" spans="1:2">
      <c r="A13" s="2" t="s">
        <v>70</v>
      </c>
      <c r="B13" s="2" t="s">
        <v>79</v>
      </c>
    </row>
    <row r="14" spans="1:2">
      <c r="A14" s="2" t="s">
        <v>70</v>
      </c>
      <c r="B14" s="2" t="s">
        <v>80</v>
      </c>
    </row>
    <row r="15" spans="1:2">
      <c r="A15" s="2" t="s">
        <v>70</v>
      </c>
      <c r="B15" s="2" t="s">
        <v>81</v>
      </c>
    </row>
    <row r="16" spans="1:2">
      <c r="A16" s="2" t="s">
        <v>70</v>
      </c>
      <c r="B16" s="2" t="s">
        <v>82</v>
      </c>
    </row>
    <row r="17" spans="1:2">
      <c r="A17" s="2" t="s">
        <v>70</v>
      </c>
      <c r="B17" s="2" t="s">
        <v>83</v>
      </c>
    </row>
    <row r="18" spans="1:2">
      <c r="A18" s="2" t="s">
        <v>70</v>
      </c>
      <c r="B18" s="2" t="s">
        <v>84</v>
      </c>
    </row>
    <row r="19" spans="1:2">
      <c r="A19" s="2" t="s">
        <v>70</v>
      </c>
      <c r="B19" s="2" t="s">
        <v>85</v>
      </c>
    </row>
    <row r="20" spans="1:2">
      <c r="A20" s="2" t="s">
        <v>70</v>
      </c>
      <c r="B20" s="2" t="s">
        <v>86</v>
      </c>
    </row>
    <row r="21" spans="1:2">
      <c r="A21" s="2" t="s">
        <v>70</v>
      </c>
      <c r="B21" s="2" t="s">
        <v>87</v>
      </c>
    </row>
    <row r="22" spans="1:2">
      <c r="A22" s="2" t="s">
        <v>70</v>
      </c>
      <c r="B22" s="2" t="s">
        <v>88</v>
      </c>
    </row>
    <row r="23" spans="1:2">
      <c r="A23" s="2" t="s">
        <v>70</v>
      </c>
      <c r="B23" s="2" t="s">
        <v>89</v>
      </c>
    </row>
    <row r="24" spans="1:2">
      <c r="A24" s="2" t="s">
        <v>70</v>
      </c>
      <c r="B24" s="2" t="s">
        <v>90</v>
      </c>
    </row>
    <row r="25" spans="1:2">
      <c r="A25" s="2" t="s">
        <v>70</v>
      </c>
      <c r="B25" s="2" t="s">
        <v>91</v>
      </c>
    </row>
    <row r="26" spans="1:2">
      <c r="A26" s="2" t="s">
        <v>70</v>
      </c>
      <c r="B26" s="2" t="s">
        <v>92</v>
      </c>
    </row>
    <row r="27" spans="1:2">
      <c r="A27" s="2" t="s">
        <v>70</v>
      </c>
      <c r="B27" s="2" t="s">
        <v>93</v>
      </c>
    </row>
    <row r="28" spans="1:2">
      <c r="A28" s="2" t="s">
        <v>70</v>
      </c>
      <c r="B28" s="2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2026-03-11T01:57:01Z</dcterms:created>
  <dcterms:modified xsi:type="dcterms:W3CDTF">2026-03-11T03:32:26Z</dcterms:modified>
  <cp:category/>
  <cp:contentStatus/>
</cp:coreProperties>
</file>