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3주차\C9\"/>
    </mc:Choice>
  </mc:AlternateContent>
  <xr:revisionPtr revIDLastSave="0" documentId="13_ncr:1_{EB021707-747A-4C94-AA01-8B5F357BD5B7}" xr6:coauthVersionLast="47" xr6:coauthVersionMax="47" xr10:uidLastSave="{00000000-0000-0000-0000-000000000000}"/>
  <bookViews>
    <workbookView xWindow="0" yWindow="60" windowWidth="13800" windowHeight="15405" tabRatio="733" activeTab="3" xr2:uid="{00000000-000D-0000-FFFF-FFFF00000000}"/>
  </bookViews>
  <sheets>
    <sheet name="Fig1" sheetId="20" r:id="rId1"/>
    <sheet name="Fig2" sheetId="23" r:id="rId2"/>
    <sheet name="Fig3" sheetId="32" r:id="rId3"/>
    <sheet name="Fig4" sheetId="3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3" l="1"/>
  <c r="B3" i="33"/>
  <c r="B4" i="32"/>
  <c r="M4" i="23" l="1"/>
  <c r="L4" i="23"/>
  <c r="K4" i="23"/>
  <c r="J4" i="23"/>
  <c r="I4" i="23"/>
  <c r="H4" i="23"/>
  <c r="G4" i="23"/>
  <c r="F4" i="23"/>
  <c r="E4" i="23"/>
  <c r="D4" i="23"/>
  <c r="C4" i="23"/>
  <c r="B4" i="23"/>
</calcChain>
</file>

<file path=xl/sharedStrings.xml><?xml version="1.0" encoding="utf-8"?>
<sst xmlns="http://schemas.openxmlformats.org/spreadsheetml/2006/main" count="46" uniqueCount="30">
  <si>
    <t>1월</t>
    <phoneticPr fontId="4" type="noConversion"/>
  </si>
  <si>
    <t>2월</t>
    <phoneticPr fontId="4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</si>
  <si>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</si>
  <si>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</si>
  <si>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</si>
  <si>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</si>
  <si>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</si>
  <si>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</si>
  <si>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</si>
  <si>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</si>
  <si>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</si>
  <si>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</si>
  <si>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매출액</t>
    <phoneticPr fontId="4" type="noConversion"/>
  </si>
  <si>
    <t>이익금</t>
    <phoneticPr fontId="4" type="noConversion"/>
  </si>
  <si>
    <t>비율</t>
    <phoneticPr fontId="4" type="noConversion"/>
  </si>
  <si>
    <t>매출액 대비 이익금 비율</t>
    <phoneticPr fontId="4" type="noConversion"/>
  </si>
  <si>
    <t>책 제목</t>
    <phoneticPr fontId="4" type="noConversion"/>
  </si>
  <si>
    <t>판매액(금년)</t>
    <phoneticPr fontId="4" type="noConversion"/>
  </si>
  <si>
    <t>VBA &amp; Macros for Microsoft Excel</t>
  </si>
  <si>
    <t>Pivot Table Data Crunching</t>
  </si>
  <si>
    <t>Learn Excel from MrExcel</t>
  </si>
  <si>
    <t>Marketing Managers, Excel for</t>
  </si>
  <si>
    <t>Auditors, Excel for</t>
  </si>
  <si>
    <t>Teachers, Excel for</t>
  </si>
  <si>
    <t>전년도</t>
    <phoneticPr fontId="4" type="noConversion"/>
  </si>
  <si>
    <t>금년도</t>
    <phoneticPr fontId="4" type="noConversion"/>
  </si>
  <si>
    <t>Excel Pivot Table Recipes</t>
  </si>
  <si>
    <t>Complete Guide to Pivot Tables</t>
  </si>
  <si>
    <t>Excel PivotTables and Charts JW</t>
  </si>
  <si>
    <t>Excel PivotTables - Visual Blueprint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</si>
</sst>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9" fontId="0" fillId="0" borderId="0" xfId="4" applyFont="1"/>
    <xf numFmtId="176" fontId="0" fillId="0" borderId="0" xfId="0" applyNumberFormat="1"/>
    <xf numFmtId="0" fontId="5" fillId="0" borderId="0" xfId="0" applyFont="1"/>
  </cellXfs>
  <cellStyles count="5">
    <cellStyle name="Normal 2" xfId="1" xr:uid="{00000000-0005-0000-0000-000000000000}"/>
    <cellStyle name="Normal 2 2" xfId="3" xr:uid="{00000000-0005-0000-0000-000001000000}"/>
    <cellStyle name="Normal 3" xfId="2" xr:uid="{00000000-0005-0000-0000-000002000000}"/>
    <cellStyle name="백분율" xfId="4" builtinId="5"/>
    <cellStyle name="표준" xfId="0" builtinId="0"/>
  </cellStyles>
  <dxfs count="0"/>
  <tableStyles count="0" defaultTableStyle="TableStyleMedium9" defaultPivotStyle="PivotStyleLight16"/>
  <colors>
    <mruColors>
      <color rgb="FF79A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'Fig1'!$A$2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'Fig1'!$B$2:$M$2</c:f>
              <c:numCache>
                <c:formatCode>#,##0_ </c:formatCode>
                <c:ptCount val="12"/>
                <c:pt idx="0">
                  <c:v>187123</c:v>
                </c:pt>
                <c:pt idx="1">
                  <c:v>188994</c:v>
                </c:pt>
                <c:pt idx="2">
                  <c:v>206003</c:v>
                </c:pt>
                <c:pt idx="3">
                  <c:v>195703</c:v>
                </c:pt>
                <c:pt idx="4">
                  <c:v>213316</c:v>
                </c:pt>
                <c:pt idx="5">
                  <c:v>209050</c:v>
                </c:pt>
                <c:pt idx="6">
                  <c:v>198598</c:v>
                </c:pt>
                <c:pt idx="7">
                  <c:v>188668</c:v>
                </c:pt>
                <c:pt idx="8">
                  <c:v>223982</c:v>
                </c:pt>
                <c:pt idx="9">
                  <c:v>246380</c:v>
                </c:pt>
                <c:pt idx="10">
                  <c:v>266090</c:v>
                </c:pt>
                <c:pt idx="11">
                  <c:v>274073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4-4BAD-88C5-79FA2745457C}"/>
            </c:ext>
          </c:extLst>
        </c:ser>
        <c:ser>
          <c:idx val="1"/>
          <c:order val="1"/>
          <c:tx>
            <c:strRef>
              <c:f>'Fig1'!$A$3</c:f>
              <c:strCache>
                <c:ptCount val="1"/>
                <c:pt idx="0">
                  <c:v>이익금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'Fig1'!$B$3:$M$3</c:f>
              <c:numCache>
                <c:formatCode>#,##0_ </c:formatCode>
                <c:ptCount val="12"/>
                <c:pt idx="0">
                  <c:v>87574</c:v>
                </c:pt>
                <c:pt idx="1">
                  <c:v>93930</c:v>
                </c:pt>
                <c:pt idx="2">
                  <c:v>101559</c:v>
                </c:pt>
                <c:pt idx="3">
                  <c:v>90806</c:v>
                </c:pt>
                <c:pt idx="4">
                  <c:v>99619</c:v>
                </c:pt>
                <c:pt idx="5">
                  <c:v>98254</c:v>
                </c:pt>
                <c:pt idx="6">
                  <c:v>95526</c:v>
                </c:pt>
                <c:pt idx="7">
                  <c:v>87353</c:v>
                </c:pt>
                <c:pt idx="8">
                  <c:v>109079</c:v>
                </c:pt>
                <c:pt idx="9">
                  <c:v>115306</c:v>
                </c:pt>
                <c:pt idx="10">
                  <c:v>114951</c:v>
                </c:pt>
                <c:pt idx="11">
                  <c:v>120318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4-4BAD-88C5-79FA27454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299792"/>
        <c:axId val="2129302672"/>
      </c:barChart>
      <c:catAx>
        <c:axId val="212929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302672"/>
        <c:crosses val="autoZero"/>
        <c:auto val="1"/>
        <c:lblAlgn val="ctr"/>
        <c:lblOffset val="100"/>
        <c:noMultiLvlLbl val="0"/>
      </c:catAx>
      <c:valAx>
        <c:axId val="2129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29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'Fig1'!$A$2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'Fig1'!$B$2:$M$2</c:f>
              <c:numCache>
                <c:formatCode>#,##0_ </c:formatCode>
                <c:ptCount val="12"/>
                <c:pt idx="0">
                  <c:v>187123</c:v>
                </c:pt>
                <c:pt idx="1">
                  <c:v>188994</c:v>
                </c:pt>
                <c:pt idx="2">
                  <c:v>206003</c:v>
                </c:pt>
                <c:pt idx="3">
                  <c:v>195703</c:v>
                </c:pt>
                <c:pt idx="4">
                  <c:v>213316</c:v>
                </c:pt>
                <c:pt idx="5">
                  <c:v>209050</c:v>
                </c:pt>
                <c:pt idx="6">
                  <c:v>198598</c:v>
                </c:pt>
                <c:pt idx="7">
                  <c:v>188668</c:v>
                </c:pt>
                <c:pt idx="8">
                  <c:v>223982</c:v>
                </c:pt>
                <c:pt idx="9">
                  <c:v>246380</c:v>
                </c:pt>
                <c:pt idx="10">
                  <c:v>266090</c:v>
                </c:pt>
                <c:pt idx="11">
                  <c:v>274073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A-4532-8A4D-54F1B69FF1AA}"/>
            </c:ext>
          </c:extLst>
        </c:ser>
        <c:ser>
          <c:idx val="1"/>
          <c:order val="1"/>
          <c:tx>
            <c:strRef>
              <c:f>'Fig1'!$A$3</c:f>
              <c:strCache>
                <c:ptCount val="1"/>
                <c:pt idx="0">
                  <c:v>이익금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'Fig1'!$B$3:$M$3</c:f>
              <c:numCache>
                <c:formatCode>#,##0_ </c:formatCode>
                <c:ptCount val="12"/>
                <c:pt idx="0">
                  <c:v>87574</c:v>
                </c:pt>
                <c:pt idx="1">
                  <c:v>93930</c:v>
                </c:pt>
                <c:pt idx="2">
                  <c:v>101559</c:v>
                </c:pt>
                <c:pt idx="3">
                  <c:v>90806</c:v>
                </c:pt>
                <c:pt idx="4">
                  <c:v>99619</c:v>
                </c:pt>
                <c:pt idx="5">
                  <c:v>98254</c:v>
                </c:pt>
                <c:pt idx="6">
                  <c:v>95526</c:v>
                </c:pt>
                <c:pt idx="7">
                  <c:v>87353</c:v>
                </c:pt>
                <c:pt idx="8">
                  <c:v>109079</c:v>
                </c:pt>
                <c:pt idx="9">
                  <c:v>115306</c:v>
                </c:pt>
                <c:pt idx="10">
                  <c:v>114951</c:v>
                </c:pt>
                <c:pt idx="11">
                  <c:v>120318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A-4532-8A4D-54F1B69FF1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5819455"/>
        <c:axId val="2105819935"/>
      </c:barChart>
      <c:catAx>
        <c:axId val="210581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19935"/>
        <c:crosses val="autoZero"/>
        <c:auto val="1"/>
        <c:lblAlgn val="ctr"/>
        <c:lblOffset val="100"/>
        <c:noMultiLvlLbl val="0"/>
      </c:catAx>
      <c:valAx>
        <c:axId val="2105819935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'Fig1'!$A$2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'Fig1'!$B$2:$M$2</c:f>
              <c:numCache>
                <c:formatCode>#,##0_ </c:formatCode>
                <c:ptCount val="12"/>
                <c:pt idx="0">
                  <c:v>187123</c:v>
                </c:pt>
                <c:pt idx="1">
                  <c:v>188994</c:v>
                </c:pt>
                <c:pt idx="2">
                  <c:v>206003</c:v>
                </c:pt>
                <c:pt idx="3">
                  <c:v>195703</c:v>
                </c:pt>
                <c:pt idx="4">
                  <c:v>213316</c:v>
                </c:pt>
                <c:pt idx="5">
                  <c:v>209050</c:v>
                </c:pt>
                <c:pt idx="6">
                  <c:v>198598</c:v>
                </c:pt>
                <c:pt idx="7">
                  <c:v>188668</c:v>
                </c:pt>
                <c:pt idx="8">
                  <c:v>223982</c:v>
                </c:pt>
                <c:pt idx="9">
                  <c:v>246380</c:v>
                </c:pt>
                <c:pt idx="10">
                  <c:v>266090</c:v>
                </c:pt>
                <c:pt idx="11">
                  <c:v>274073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5-4229-BE23-010316FF80D5}"/>
            </c:ext>
          </c:extLst>
        </c:ser>
        <c:ser>
          <c:idx val="1"/>
          <c:order val="1"/>
          <c:tx>
            <c:strRef>
              <c:f>'Fig1'!$A$3</c:f>
              <c:strCache>
                <c:ptCount val="1"/>
                <c:pt idx="0">
                  <c:v>이익금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'Fig1'!$B$3:$M$3</c:f>
              <c:numCache>
                <c:formatCode>#,##0_ </c:formatCode>
                <c:ptCount val="12"/>
                <c:pt idx="0">
                  <c:v>87574</c:v>
                </c:pt>
                <c:pt idx="1">
                  <c:v>93930</c:v>
                </c:pt>
                <c:pt idx="2">
                  <c:v>101559</c:v>
                </c:pt>
                <c:pt idx="3">
                  <c:v>90806</c:v>
                </c:pt>
                <c:pt idx="4">
                  <c:v>99619</c:v>
                </c:pt>
                <c:pt idx="5">
                  <c:v>98254</c:v>
                </c:pt>
                <c:pt idx="6">
                  <c:v>95526</c:v>
                </c:pt>
                <c:pt idx="7">
                  <c:v>87353</c:v>
                </c:pt>
                <c:pt idx="8">
                  <c:v>109079</c:v>
                </c:pt>
                <c:pt idx="9">
                  <c:v>115306</c:v>
                </c:pt>
                <c:pt idx="10">
                  <c:v>114951</c:v>
                </c:pt>
                <c:pt idx="11">
                  <c:v>120318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5-4229-BE23-010316FF8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5843455"/>
        <c:axId val="2105834335"/>
      </c:barChart>
      <c:catAx>
        <c:axId val="210584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34335"/>
        <c:crosses val="autoZero"/>
        <c:auto val="1"/>
        <c:lblAlgn val="ctr"/>
        <c:lblOffset val="100"/>
        <c:noMultiLvlLbl val="0"/>
      </c:catAx>
      <c:valAx>
        <c:axId val="21058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4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'Fig1'!$A$2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'Fig1'!$B$2:$M$2</c:f>
              <c:numCache>
                <c:formatCode>#,##0_ </c:formatCode>
                <c:ptCount val="12"/>
                <c:pt idx="0">
                  <c:v>187123</c:v>
                </c:pt>
                <c:pt idx="1">
                  <c:v>188994</c:v>
                </c:pt>
                <c:pt idx="2">
                  <c:v>206003</c:v>
                </c:pt>
                <c:pt idx="3">
                  <c:v>195703</c:v>
                </c:pt>
                <c:pt idx="4">
                  <c:v>213316</c:v>
                </c:pt>
                <c:pt idx="5">
                  <c:v>209050</c:v>
                </c:pt>
                <c:pt idx="6">
                  <c:v>198598</c:v>
                </c:pt>
                <c:pt idx="7">
                  <c:v>188668</c:v>
                </c:pt>
                <c:pt idx="8">
                  <c:v>223982</c:v>
                </c:pt>
                <c:pt idx="9">
                  <c:v>246380</c:v>
                </c:pt>
                <c:pt idx="10">
                  <c:v>266090</c:v>
                </c:pt>
                <c:pt idx="11">
                  <c:v>274073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C-4230-BB3E-7B8EABAD8805}"/>
            </c:ext>
          </c:extLst>
        </c:ser>
        <c:ser>
          <c:idx val="1"/>
          <c:order val="1"/>
          <c:tx>
            <c:strRef>
              <c:f>'Fig1'!$A$3</c:f>
              <c:strCache>
                <c:ptCount val="1"/>
                <c:pt idx="0">
                  <c:v>이익금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'Fig1'!$B$1:$M$1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'Fig1'!$B$3:$M$3</c:f>
              <c:numCache>
                <c:formatCode>#,##0_ </c:formatCode>
                <c:ptCount val="12"/>
                <c:pt idx="0">
                  <c:v>87574</c:v>
                </c:pt>
                <c:pt idx="1">
                  <c:v>93930</c:v>
                </c:pt>
                <c:pt idx="2">
                  <c:v>101559</c:v>
                </c:pt>
                <c:pt idx="3">
                  <c:v>90806</c:v>
                </c:pt>
                <c:pt idx="4">
                  <c:v>99619</c:v>
                </c:pt>
                <c:pt idx="5">
                  <c:v>98254</c:v>
                </c:pt>
                <c:pt idx="6">
                  <c:v>95526</c:v>
                </c:pt>
                <c:pt idx="7">
                  <c:v>87353</c:v>
                </c:pt>
                <c:pt idx="8">
                  <c:v>109079</c:v>
                </c:pt>
                <c:pt idx="9">
                  <c:v>115306</c:v>
                </c:pt>
                <c:pt idx="10">
                  <c:v>114951</c:v>
                </c:pt>
                <c:pt idx="11">
                  <c:v>120318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C-4230-BB3E-7B8EABAD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105854015"/>
        <c:axId val="2105838175"/>
      </c:barChart>
      <c:catAx>
        <c:axId val="210585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38175"/>
        <c:crosses val="autoZero"/>
        <c:auto val="1"/>
        <c:lblAlgn val="ctr"/>
        <c:lblOffset val="100"/>
        <c:noMultiLvlLbl val="0"/>
      </c:catAx>
      <c:valAx>
        <c:axId val="21058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8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'Fig2'!$A$2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'Fig2'!$B$1:$M$1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'Fig2'!$B$2:$M$2</c:f>
              <c:numCache>
                <c:formatCode>#,##0_ </c:formatCode>
                <c:ptCount val="12"/>
                <c:pt idx="0">
                  <c:v>187123</c:v>
                </c:pt>
                <c:pt idx="1">
                  <c:v>188994</c:v>
                </c:pt>
                <c:pt idx="2">
                  <c:v>206003</c:v>
                </c:pt>
                <c:pt idx="3">
                  <c:v>195703</c:v>
                </c:pt>
                <c:pt idx="4">
                  <c:v>213316</c:v>
                </c:pt>
                <c:pt idx="5">
                  <c:v>209050</c:v>
                </c:pt>
                <c:pt idx="6">
                  <c:v>198598</c:v>
                </c:pt>
                <c:pt idx="7">
                  <c:v>188668</c:v>
                </c:pt>
                <c:pt idx="8">
                  <c:v>223982</c:v>
                </c:pt>
                <c:pt idx="9">
                  <c:v>246380</c:v>
                </c:pt>
                <c:pt idx="10">
                  <c:v>266090</c:v>
                </c:pt>
                <c:pt idx="11">
                  <c:v>274073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0-4BBB-8AB2-BF99A5806F65}"/>
            </c:ext>
          </c:extLst>
        </c:ser>
        <c:ser>
          <c:idx val="1"/>
          <c:order val="1"/>
          <c:tx>
            <c:strRef>
              <c:f>'Fig2'!$A$3</c:f>
              <c:strCache>
                <c:ptCount val="1"/>
                <c:pt idx="0">
                  <c:v>이익금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'Fig2'!$B$1:$M$1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'Fig2'!$B$3:$M$3</c:f>
              <c:numCache>
                <c:formatCode>#,##0_ </c:formatCode>
                <c:ptCount val="12"/>
                <c:pt idx="0">
                  <c:v>87574</c:v>
                </c:pt>
                <c:pt idx="1">
                  <c:v>93930</c:v>
                </c:pt>
                <c:pt idx="2">
                  <c:v>101559</c:v>
                </c:pt>
                <c:pt idx="3">
                  <c:v>90806</c:v>
                </c:pt>
                <c:pt idx="4">
                  <c:v>99619</c:v>
                </c:pt>
                <c:pt idx="5">
                  <c:v>98254</c:v>
                </c:pt>
                <c:pt idx="6">
                  <c:v>95526</c:v>
                </c:pt>
                <c:pt idx="7">
                  <c:v>87353</c:v>
                </c:pt>
                <c:pt idx="8">
                  <c:v>109079</c:v>
                </c:pt>
                <c:pt idx="9">
                  <c:v>115306</c:v>
                </c:pt>
                <c:pt idx="10">
                  <c:v>114951</c:v>
                </c:pt>
                <c:pt idx="11">
                  <c:v>120318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0-4BBB-8AB2-BF99A5806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455167"/>
        <c:axId val="105438847"/>
      </c:barChart>
      <c:lineChart>
        <c:grouping val="standard"/>
        <c:varyColors val="0"/>
        <c:ser>
          <c:idx val="2"/>
          <c:order val="2"/>
          <c:tx>
            <c:strRef>
              <c:f>'Fig2'!$A$4</c:f>
              <c:strCache>
                <c:ptCount val="1"/>
                <c:pt idx="0">
                  <c:v>비율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'Fig2'!$B$1:$M$1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'Fig2'!$B$4:$M$4</c:f>
              <c:numCache>
                <c:formatCode>0%</c:formatCode>
                <c:ptCount val="12"/>
                <c:pt idx="0">
                  <c:v>0.46800233001822333</c:v>
                </c:pt>
                <c:pt idx="1">
                  <c:v>0.49699990475888123</c:v>
                </c:pt>
                <c:pt idx="2">
                  <c:v>0.49299767479114381</c:v>
                </c:pt>
                <c:pt idx="3">
                  <c:v>0.46399901892152906</c:v>
                </c:pt>
                <c:pt idx="4">
                  <c:v>0.46700200641302103</c:v>
                </c:pt>
                <c:pt idx="5">
                  <c:v>0.4700023917723033</c:v>
                </c:pt>
                <c:pt idx="6">
                  <c:v>0.48100182277767145</c:v>
                </c:pt>
                <c:pt idx="7">
                  <c:v>0.46299849471028476</c:v>
                </c:pt>
                <c:pt idx="8">
                  <c:v>0.48699895527319159</c:v>
                </c:pt>
                <c:pt idx="9">
                  <c:v>0.46800064940336067</c:v>
                </c:pt>
                <c:pt idx="10">
                  <c:v>0.43200045097523393</c:v>
                </c:pt>
                <c:pt idx="11">
                  <c:v>0.43899982851284147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0-4BBB-8AB2-BF99A5806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7567"/>
        <c:axId val="105457087"/>
      </c:lineChart>
      <c:catAx>
        <c:axId val="10545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38847"/>
        <c:auto val="1"/>
        <c:lblAlgn val="ctr"/>
        <c:lblOffset val="100"/>
        <c:noMultiLvlLbl val="0"/>
      </c:catAx>
      <c:valAx>
        <c:axId val="105438847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55167"/>
        <c:crossBetween val="between"/>
      </c:valAx>
      <c:valAx>
        <c:axId val="10545708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57567"/>
        <c:crosses val="max"/>
        <c:crossBetween val="between"/>
      </c:valAx>
      <c:catAx>
        <c:axId val="10545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4570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판매액</a:t>
            </a:r>
            <a:endParaRPr lang="en-US" altLang="ko-KR"/>
          </a:p>
        </c:rich>
      </c:tx>
      <c:layout>
        <c:manualLayout>
          <c:xMode val="edge"/>
          <c:yMode val="edge"/>
          <c:x val="3.3844754554195569E-2"/>
          <c:y val="3.1620553359683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'Fig3'!$B$1</c:f>
              <c:strCache>
                <c:ptCount val="1"/>
                <c:pt idx="0">
                  <c:v>판매액(금년)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'Fig3'!$A$2:$A$7</c:f>
              <c:strCache>
                <c:ptCount val="6"/>
                <c:pt idx="0">
                  <c:v>VBA &amp; Macros for Microsoft Excel</c:v>
                </c:pt>
                <c:pt idx="1">
                  <c:v>Pivot Table Data Crunching</c:v>
                </c:pt>
                <c:pt idx="2">
                  <c:v>Learn Excel from MrExcel</c:v>
                </c:pt>
                <c:pt idx="3">
                  <c:v>Marketing Managers, Excel for</c:v>
                </c:pt>
                <c:pt idx="4">
                  <c:v>Auditors, Excel for</c:v>
                </c:pt>
                <c:pt idx="5">
                  <c:v>Teachers, Excel for</c:v>
                </c:pt>
              </c:strCache>
            </c:strRef>
          </c:cat>
          <c:val>
            <c:numRef>
              <c:f>'Fig3'!$B$2:$B$7</c:f>
              <c:numCache>
                <c:formatCode>General</c:formatCode>
                <c:ptCount val="6"/>
                <c:pt idx="0">
                  <c:v>29167</c:v>
                </c:pt>
                <c:pt idx="1">
                  <c:v>21270</c:v>
                </c:pt>
                <c:pt idx="2">
                  <c:v>19564</c:v>
                </c:pt>
                <c:pt idx="3">
                  <c:v>1803</c:v>
                </c:pt>
                <c:pt idx="4">
                  <c:v>1674</c:v>
                </c:pt>
                <c:pt idx="5">
                  <c:v>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C-4A11-9F34-9560B134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66687"/>
        <c:axId val="105467647"/>
      </c:barChart>
      <c:catAx>
        <c:axId val="1054666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67647"/>
        <c:crosses val="autoZero"/>
        <c:auto val="1"/>
        <c:lblAlgn val="ctr"/>
        <c:lblOffset val="100"/>
        <c:noMultiLvlLbl val="0"/>
      </c:catAx>
      <c:valAx>
        <c:axId val="10546764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546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전년도와 금년도 판매량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'Fig4'!$B$1</c:f>
              <c:strCache>
                <c:ptCount val="1"/>
                <c:pt idx="0">
                  <c:v>전년도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'Fig4'!$A$2:$A$6</c:f>
              <c:strCache>
                <c:ptCount val="5"/>
                <c:pt idx="0">
                  <c:v>Excel Pivot Table Recipes</c:v>
                </c:pt>
                <c:pt idx="1">
                  <c:v>Complete Guide to Pivot Tables</c:v>
                </c:pt>
                <c:pt idx="2">
                  <c:v>Excel PivotTables and Charts JW</c:v>
                </c:pt>
                <c:pt idx="3">
                  <c:v>Excel PivotTables - Visual Blueprint</c:v>
                </c:pt>
                <c:pt idx="4">
                  <c:v>Pivot Table Data Crunching</c:v>
                </c:pt>
              </c:strCache>
            </c:strRef>
          </c:cat>
          <c:val>
            <c:numRef>
              <c:f>'Fig4'!$B$2:$B$6</c:f>
              <c:numCache>
                <c:formatCode>General</c:formatCode>
                <c:ptCount val="5"/>
                <c:pt idx="0">
                  <c:v>50</c:v>
                </c:pt>
                <c:pt idx="1">
                  <c:v>4331</c:v>
                </c:pt>
                <c:pt idx="2">
                  <c:v>200</c:v>
                </c:pt>
                <c:pt idx="3">
                  <c:v>100</c:v>
                </c:pt>
                <c:pt idx="4">
                  <c:v>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B-4FF1-B803-80898260E011}"/>
            </c:ext>
          </c:extLst>
        </c:ser>
        <c:ser>
          <c:idx val="1"/>
          <c:order val="1"/>
          <c:tx>
            <c:strRef>
              <c:f>'Fig4'!$C$1</c:f>
              <c:strCache>
                <c:ptCount val="1"/>
                <c:pt idx="0">
                  <c:v>금년도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'Fig4'!$A$2:$A$6</c:f>
              <c:strCache>
                <c:ptCount val="5"/>
                <c:pt idx="0">
                  <c:v>Excel Pivot Table Recipes</c:v>
                </c:pt>
                <c:pt idx="1">
                  <c:v>Complete Guide to Pivot Tables</c:v>
                </c:pt>
                <c:pt idx="2">
                  <c:v>Excel PivotTables and Charts JW</c:v>
                </c:pt>
                <c:pt idx="3">
                  <c:v>Excel PivotTables - Visual Blueprint</c:v>
                </c:pt>
                <c:pt idx="4">
                  <c:v>Pivot Table Data Crunching</c:v>
                </c:pt>
              </c:strCache>
            </c:strRef>
          </c:cat>
          <c:val>
            <c:numRef>
              <c:f>'Fig4'!$C$2:$C$6</c:f>
              <c:numCache>
                <c:formatCode>General</c:formatCode>
                <c:ptCount val="5"/>
                <c:pt idx="0">
                  <c:v>434</c:v>
                </c:pt>
                <c:pt idx="1">
                  <c:v>1414</c:v>
                </c:pt>
                <c:pt idx="2">
                  <c:v>2267</c:v>
                </c:pt>
                <c:pt idx="3">
                  <c:v>2580</c:v>
                </c:pt>
                <c:pt idx="4">
                  <c:v>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B-4FF1-B803-80898260E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25"/>
        <c:axId val="105463327"/>
        <c:axId val="105453727"/>
      </c:barChart>
      <c:catAx>
        <c:axId val="1054633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53727"/>
        <c:crosses val="autoZero"/>
        <c:auto val="1"/>
        <c:lblAlgn val="ctr"/>
        <c:lblOffset val="100"/>
        <c:noMultiLvlLbl val="0"/>
      </c:catAx>
      <c:valAx>
        <c:axId val="105453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46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271462</xdr:colOff>
      <xdr:row>1</xdr:row>
      <xdr:rowOff>38100</xdr:rowOff>
    </xdr:from>
    <xdr:to>
      <xdr:col>21</xdr:col>
      <xdr:colOff>42862</xdr:colOff>
      <xdr:row>14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92C0561-0AEE-7316-8B8D-594BD2C78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61912</xdr:colOff>
      <xdr:row>3</xdr:row>
      <xdr:rowOff>209549</xdr:rowOff>
    </xdr:from>
    <xdr:to>
      <xdr:col>9</xdr:col>
      <xdr:colOff>0</xdr:colOff>
      <xdr:row>18</xdr:row>
      <xdr:rowOff>142874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6EDCE09-6475-919C-CA28-A37C5B677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</xdr:colOff>
      <xdr:row>19</xdr:row>
      <xdr:rowOff>0</xdr:rowOff>
    </xdr:from>
    <xdr:to>
      <xdr:col>4</xdr:col>
      <xdr:colOff>390525</xdr:colOff>
      <xdr:row>29</xdr:row>
      <xdr:rowOff>171450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6BC479C-F821-CCDB-84EB-111F4E70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500062</xdr:colOff>
      <xdr:row>18</xdr:row>
      <xdr:rowOff>200025</xdr:rowOff>
    </xdr:from>
    <xdr:to>
      <xdr:col>10</xdr:col>
      <xdr:colOff>561975</xdr:colOff>
      <xdr:row>29</xdr:row>
      <xdr:rowOff>142875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B6EE2FD-9D96-4B96-C679-BFD0E8BAD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338137</xdr:colOff>
      <xdr:row>5</xdr:row>
      <xdr:rowOff>0</xdr:rowOff>
    </xdr:from>
    <xdr:to>
      <xdr:col>6</xdr:col>
      <xdr:colOff>623887</xdr:colOff>
      <xdr:row>18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A5A786E-37EC-4997-98BD-AD953CAEA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7</xdr:row>
      <xdr:rowOff>66675</xdr:rowOff>
    </xdr:from>
    <xdr:to>
      <xdr:col>4</xdr:col>
      <xdr:colOff>514350</xdr:colOff>
      <xdr:row>20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BF40EB6-895A-EB1D-BEAE-5BA40AFD5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7</xdr:row>
      <xdr:rowOff>0</xdr:rowOff>
    </xdr:from>
    <xdr:to>
      <xdr:col>4</xdr:col>
      <xdr:colOff>361950</xdr:colOff>
      <xdr:row>20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9391921-155A-3C76-0E6E-14ADE3E4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3"/>
  <sheetViews>
    <sheetView topLeftCell="A7" workbookViewId="0">
      <selection activeCell="I35" sqref="I35"/>
    </sheetView>
  </sheetViews>
  <sheetFormatPr defaultRowHeight="16.5" x14ac:dyDescent="0.3"/>
  <cols>
    <col min="1" max="1" width="11.2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s="3">
        <v>187123</v>
      </c>
      <c r="C2" s="3">
        <v>188994</v>
      </c>
      <c r="D2" s="3">
        <v>206003</v>
      </c>
      <c r="E2" s="3">
        <v>195703</v>
      </c>
      <c r="F2" s="3">
        <v>213316</v>
      </c>
      <c r="G2" s="3">
        <v>209050</v>
      </c>
      <c r="H2" s="3">
        <v>198598</v>
      </c>
      <c r="I2" s="3">
        <v>188668</v>
      </c>
      <c r="J2" s="3">
        <v>223982</v>
      </c>
      <c r="K2" s="3">
        <v>246380</v>
      </c>
      <c r="L2" s="3">
        <v>266090</v>
      </c>
      <c r="M2" s="3">
        <v>274073</v>
      </c>
    </row>
    <row r="3" spans="1:13" x14ac:dyDescent="0.3">
      <c r="A3" t="s">
        <v>13</v>
      </c>
      <c r="B3" s="3">
        <v>87574</v>
      </c>
      <c r="C3" s="3">
        <v>93930</v>
      </c>
      <c r="D3" s="3">
        <v>101559</v>
      </c>
      <c r="E3" s="3">
        <v>90806</v>
      </c>
      <c r="F3" s="3">
        <v>99619</v>
      </c>
      <c r="G3" s="3">
        <v>98254</v>
      </c>
      <c r="H3" s="3">
        <v>95526</v>
      </c>
      <c r="I3" s="3">
        <v>87353</v>
      </c>
      <c r="J3" s="3">
        <v>109079</v>
      </c>
      <c r="K3" s="3">
        <v>115306</v>
      </c>
      <c r="L3" s="3">
        <v>114951</v>
      </c>
      <c r="M3" s="3">
        <v>120318</v>
      </c>
    </row>
  </sheetData>
  <phoneticPr fontId="4" type="noConversion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N4"/>
  <sheetViews>
    <sheetView workbookViewId="0">
      <selection activeCell="J21" sqref="J21"/>
    </sheetView>
  </sheetViews>
  <sheetFormatPr defaultRowHeight="16.5" x14ac:dyDescent="0.3"/>
  <cols>
    <col min="1" max="1" width="11.2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4" x14ac:dyDescent="0.3">
      <c r="A2" t="s">
        <v>12</v>
      </c>
      <c r="B2" s="3">
        <v>187123</v>
      </c>
      <c r="C2" s="3">
        <v>188994</v>
      </c>
      <c r="D2" s="3">
        <v>206003</v>
      </c>
      <c r="E2" s="3">
        <v>195703</v>
      </c>
      <c r="F2" s="3">
        <v>213316</v>
      </c>
      <c r="G2" s="3">
        <v>209050</v>
      </c>
      <c r="H2" s="3">
        <v>198598</v>
      </c>
      <c r="I2" s="3">
        <v>188668</v>
      </c>
      <c r="J2" s="3">
        <v>223982</v>
      </c>
      <c r="K2" s="3">
        <v>246380</v>
      </c>
      <c r="L2" s="3">
        <v>266090</v>
      </c>
      <c r="M2" s="3">
        <v>274073</v>
      </c>
    </row>
    <row r="3" spans="1:14" x14ac:dyDescent="0.3">
      <c r="A3" t="s">
        <v>13</v>
      </c>
      <c r="B3" s="3">
        <v>87574</v>
      </c>
      <c r="C3" s="3">
        <v>93930</v>
      </c>
      <c r="D3" s="3">
        <v>101559</v>
      </c>
      <c r="E3" s="3">
        <v>90806</v>
      </c>
      <c r="F3" s="3">
        <v>99619</v>
      </c>
      <c r="G3" s="3">
        <v>98254</v>
      </c>
      <c r="H3" s="3">
        <v>95526</v>
      </c>
      <c r="I3" s="3">
        <v>87353</v>
      </c>
      <c r="J3" s="3">
        <v>109079</v>
      </c>
      <c r="K3" s="3">
        <v>115306</v>
      </c>
      <c r="L3" s="3">
        <v>114951</v>
      </c>
      <c r="M3" s="3">
        <v>120318</v>
      </c>
    </row>
    <row r="4" spans="1:14" x14ac:dyDescent="0.3">
      <c r="A4" t="s">
        <v>14</v>
      </c>
      <c r="B4" s="2">
        <f>B3/B2</f>
        <v>0.46800233001822333</v>
      </c>
      <c r="C4" s="2">
        <f t="shared" ref="C4:M4" si="0">C3/C2</f>
        <v>0.49699990475888123</v>
      </c>
      <c r="D4" s="2">
        <f t="shared" si="0"/>
        <v>0.49299767479114381</v>
      </c>
      <c r="E4" s="2">
        <f t="shared" si="0"/>
        <v>0.46399901892152906</v>
      </c>
      <c r="F4" s="2">
        <f t="shared" si="0"/>
        <v>0.46700200641302103</v>
      </c>
      <c r="G4" s="2">
        <f t="shared" si="0"/>
        <v>0.4700023917723033</v>
      </c>
      <c r="H4" s="2">
        <f t="shared" si="0"/>
        <v>0.48100182277767145</v>
      </c>
      <c r="I4" s="2">
        <f t="shared" si="0"/>
        <v>0.46299849471028476</v>
      </c>
      <c r="J4" s="2">
        <f t="shared" si="0"/>
        <v>0.48699895527319159</v>
      </c>
      <c r="K4" s="2">
        <f t="shared" si="0"/>
        <v>0.46800064940336067</v>
      </c>
      <c r="L4" s="2">
        <f t="shared" si="0"/>
        <v>0.43200045097523393</v>
      </c>
      <c r="M4" s="2">
        <f t="shared" si="0"/>
        <v>0.43899982851284147</v>
      </c>
      <c r="N4" t="s">
        <v>15</v>
      </c>
    </row>
  </sheetData>
  <phoneticPr fontId="4" type="noConversion"/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10D0-3F52-429D-9EEB-ACB977B7A5C0}">
  <dimension ref="A1:B7"/>
  <sheetViews>
    <sheetView workbookViewId="0">
      <selection activeCell="F27" sqref="F27"/>
    </sheetView>
  </sheetViews>
  <sheetFormatPr defaultRowHeight="16.5" x14ac:dyDescent="0.3"/>
  <cols>
    <col min="1" max="1" width="26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>
        <v>29167</v>
      </c>
    </row>
    <row r="3" spans="1:2" x14ac:dyDescent="0.3">
      <c r="A3" t="s">
        <v>19</v>
      </c>
      <c r="B3">
        <v>21270</v>
      </c>
    </row>
    <row r="4" spans="1:2" x14ac:dyDescent="0.3">
      <c r="A4" t="s">
        <v>20</v>
      </c>
      <c r="B4">
        <f>6903+12661</f>
        <v>19564</v>
      </c>
    </row>
    <row r="5" spans="1:2" x14ac:dyDescent="0.3">
      <c r="A5" t="s">
        <v>21</v>
      </c>
      <c r="B5">
        <v>1803</v>
      </c>
    </row>
    <row r="6" spans="1:2" x14ac:dyDescent="0.3">
      <c r="A6" t="s">
        <v>22</v>
      </c>
      <c r="B6">
        <v>1674</v>
      </c>
    </row>
    <row r="7" spans="1:2" x14ac:dyDescent="0.3">
      <c r="A7" t="s">
        <v>23</v>
      </c>
      <c r="B7">
        <v>1599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FA5F-E39C-4269-9EAA-4F1E9D7E9D19}">
  <dimension ref="A1:C6"/>
  <sheetViews>
    <sheetView tabSelected="1" workbookViewId="0">
      <selection activeCell="C25" sqref="C25"/>
    </sheetView>
  </sheetViews>
  <sheetFormatPr defaultRowHeight="16.5" x14ac:dyDescent="0.3"/>
  <cols>
    <col min="1" max="1" width="30.625" customWidth="1"/>
  </cols>
  <sheetData>
    <row r="1" spans="1:3" x14ac:dyDescent="0.3">
      <c r="A1" s="4" t="s">
        <v>16</v>
      </c>
      <c r="B1" s="4" t="s">
        <v>24</v>
      </c>
      <c r="C1" s="4" t="s">
        <v>25</v>
      </c>
    </row>
    <row r="2" spans="1:3" x14ac:dyDescent="0.3">
      <c r="A2" t="s">
        <v>26</v>
      </c>
      <c r="B2">
        <v>50</v>
      </c>
      <c r="C2">
        <v>434</v>
      </c>
    </row>
    <row r="3" spans="1:3" x14ac:dyDescent="0.3">
      <c r="A3" t="s">
        <v>27</v>
      </c>
      <c r="B3">
        <f>5745-1414</f>
        <v>4331</v>
      </c>
      <c r="C3">
        <v>1414</v>
      </c>
    </row>
    <row r="4" spans="1:3" x14ac:dyDescent="0.3">
      <c r="A4" t="s">
        <v>28</v>
      </c>
      <c r="B4">
        <v>200</v>
      </c>
      <c r="C4">
        <v>2267</v>
      </c>
    </row>
    <row r="5" spans="1:3" x14ac:dyDescent="0.3">
      <c r="A5" t="s">
        <v>29</v>
      </c>
      <c r="B5">
        <v>100</v>
      </c>
      <c r="C5">
        <v>2580</v>
      </c>
    </row>
    <row r="6" spans="1:3" x14ac:dyDescent="0.3">
      <c r="A6" t="s">
        <v>19</v>
      </c>
      <c r="B6">
        <f>9405-6075</f>
        <v>3330</v>
      </c>
      <c r="C6">
        <v>6296</v>
      </c>
    </row>
  </sheetData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2009-10-10T13:47:27Z</outs:dateTime>
      <outs:isPinned>true</outs:isPinned>
    </outs:relatedDate>
    <outs:relatedDate>
      <outs:type>2</outs:type>
      <outs:displayName>Created</outs:displayName>
      <outs:dateTime>2007-04-22T09:29:57Z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Customer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Bill Jelen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5D0846D7-25BC-402D-B7AF-43EB80ADF029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Fig1</vt:lpstr>
      <vt:lpstr>Fig2</vt:lpstr>
      <vt:lpstr>Fig3</vt:lpstr>
      <vt:lpstr>Fig4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2007-04-22T09:29:57Z</dcterms:created>
  <dcterms:modified xsi:type="dcterms:W3CDTF">2026-05-26T11:29:49Z</dcterms:modified>
</cp:coreProperties>
</file>